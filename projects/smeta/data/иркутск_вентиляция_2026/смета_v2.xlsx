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 ФЕР-2020 (по ВОР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C00000"/>
      <sz val="10"/>
    </font>
    <font>
      <b val="1"/>
    </font>
    <font>
      <i val="1"/>
      <color rgb="00C00000"/>
    </font>
    <font>
      <b val="1"/>
      <sz val="11"/>
    </font>
    <font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3" fillId="0" borderId="1" pivotButton="0" quotePrefix="0" xfId="0"/>
    <xf numFmtId="0" fontId="0" fillId="0" borderId="1" pivotButton="0" quotePrefix="0" xfId="0"/>
    <xf numFmtId="0" fontId="5" fillId="2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8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50" customWidth="1" min="11" max="11"/>
  </cols>
  <sheetData>
    <row r="1">
      <c r="A1" s="1" t="inlineStr">
        <is>
          <t>ЛОКАЛЬНАЯ СМЕТА — ФЕР-2020 (составлена строго по ВОР)</t>
        </is>
      </c>
    </row>
    <row r="2">
      <c r="A2" t="inlineStr">
        <is>
          <t>Капитальный ремонт приточной системы вентиляции | Административное здание, г. Иркутск</t>
        </is>
      </c>
    </row>
    <row r="3">
      <c r="A3" t="inlineStr">
        <is>
          <t>ВОР: Ведомость объёмов работ № ___ | Июнь 2026 | Условия: работа в действующем здании без остановки (п.4.16 ФЕР-2020)</t>
        </is>
      </c>
    </row>
    <row r="5">
      <c r="A5" s="2" t="inlineStr">
        <is>
          <t>ВНИМАНИЕ: Данные по индексам и поправкам требуют уточнения сметчиком (см. комментарии внизу)</t>
        </is>
      </c>
    </row>
    <row r="7">
      <c r="A7" s="3" t="inlineStr">
        <is>
          <t>№</t>
        </is>
      </c>
      <c r="B7" s="3" t="inlineStr">
        <is>
          <t>Код ФЕР</t>
        </is>
      </c>
      <c r="C7" s="3" t="inlineStr">
        <is>
          <t>Наименование</t>
        </is>
      </c>
      <c r="D7" s="3" t="inlineStr">
        <is>
          <t>Ед</t>
        </is>
      </c>
      <c r="E7" s="3" t="inlineStr">
        <is>
          <t>Кол-во</t>
        </is>
      </c>
      <c r="F7" s="3" t="inlineStr">
        <is>
          <t>Базовая цена</t>
        </is>
      </c>
      <c r="G7" s="3" t="inlineStr">
        <is>
          <t>Поправка</t>
        </is>
      </c>
      <c r="H7" s="3" t="inlineStr">
        <is>
          <t>Сумма баз.</t>
        </is>
      </c>
      <c r="I7" s="3" t="inlineStr">
        <is>
          <t>Индекс</t>
        </is>
      </c>
      <c r="J7" s="3" t="inlineStr">
        <is>
          <t>Текущая сумма</t>
        </is>
      </c>
      <c r="K7" s="3" t="inlineStr">
        <is>
          <t>Комментарий</t>
        </is>
      </c>
    </row>
    <row r="8">
      <c r="A8" s="4" t="inlineStr">
        <is>
          <t>1</t>
        </is>
      </c>
      <c r="B8" s="5" t="inlineStr">
        <is>
          <t>УТОЧНИТЬ</t>
        </is>
      </c>
      <c r="C8" s="4" t="inlineStr">
        <is>
          <t>Вентиляторы радиальные (ВР 80-75 №6.3)</t>
        </is>
      </c>
      <c r="D8" s="4" t="inlineStr">
        <is>
          <t>шт</t>
        </is>
      </c>
      <c r="E8" s="6" t="n">
        <v>1</v>
      </c>
      <c r="F8" s="4" t="n"/>
      <c r="G8" s="5" t="inlineStr">
        <is>
          <t>УТОЧНИТЬ</t>
        </is>
      </c>
      <c r="H8" s="4" t="n"/>
      <c r="I8" s="5" t="inlineStr">
        <is>
          <t>УТОЧНИТЬ</t>
        </is>
      </c>
      <c r="J8" s="4" t="n"/>
      <c r="K8" s="4" t="inlineStr">
        <is>
          <t>Масса вентилятора ВР 80-75 №6.3 неизвестна. Если до 50кг → ФЕР20-03-001-01, если 50-120кг → ФЕР20-03-001-02. Сметчик уточнит в ГРАНДе.</t>
        </is>
      </c>
    </row>
    <row r="9">
      <c r="A9" s="4" t="inlineStr">
        <is>
          <t>2</t>
        </is>
      </c>
      <c r="B9" s="4" t="inlineStr">
        <is>
          <t>ФЕР20-02-002-01</t>
        </is>
      </c>
      <c r="C9" s="4" t="inlineStr">
        <is>
          <t>Решетки жалюзийные до 0.5м²</t>
        </is>
      </c>
      <c r="D9" s="4" t="inlineStr">
        <is>
          <t>шт</t>
        </is>
      </c>
      <c r="E9" s="6" t="n">
        <v>20</v>
      </c>
      <c r="F9" s="6" t="n">
        <v>15.17</v>
      </c>
      <c r="G9" s="6" t="n">
        <v>1.15</v>
      </c>
      <c r="H9" s="4">
        <f>E8*F8*G8</f>
        <v/>
      </c>
      <c r="I9" s="6" t="n">
        <v>8.640000000000001</v>
      </c>
      <c r="J9" s="4">
        <f>H8*I8</f>
        <v/>
      </c>
      <c r="K9" s="4" t="inlineStr">
        <is>
          <t>По ВОР: 20 шт.</t>
        </is>
      </c>
    </row>
    <row r="10">
      <c r="A10" s="4" t="inlineStr">
        <is>
          <t>3</t>
        </is>
      </c>
      <c r="B10" s="4" t="inlineStr">
        <is>
          <t>ФЕР20-02-004-01</t>
        </is>
      </c>
      <c r="C10" s="4" t="inlineStr">
        <is>
          <t>Клапаны обратные до 355мм</t>
        </is>
      </c>
      <c r="D10" s="4" t="inlineStr">
        <is>
          <t>шт</t>
        </is>
      </c>
      <c r="E10" s="6" t="n">
        <v>1</v>
      </c>
      <c r="F10" s="6" t="n">
        <v>18.09</v>
      </c>
      <c r="G10" s="6" t="n">
        <v>1.15</v>
      </c>
      <c r="H10" s="4">
        <f>E9*F9*G9</f>
        <v/>
      </c>
      <c r="I10" s="6" t="n">
        <v>8.640000000000001</v>
      </c>
      <c r="J10" s="4">
        <f>H9*I9</f>
        <v/>
      </c>
      <c r="K10" s="4" t="inlineStr">
        <is>
          <t>По ВОР: 1 шт (периметр до 1600мм).</t>
        </is>
      </c>
    </row>
    <row r="11">
      <c r="A11" s="4" t="inlineStr">
        <is>
          <t>4</t>
        </is>
      </c>
      <c r="B11" s="4" t="inlineStr">
        <is>
          <t>ФЕР20-02-005-01</t>
        </is>
      </c>
      <c r="C11" s="4" t="inlineStr">
        <is>
          <t>Заслонки с ручным приводом до 250мм</t>
        </is>
      </c>
      <c r="D11" s="4" t="inlineStr">
        <is>
          <t>шт</t>
        </is>
      </c>
      <c r="E11" s="6" t="n">
        <v>1</v>
      </c>
      <c r="F11" s="6" t="n">
        <v>25.75</v>
      </c>
      <c r="G11" s="6" t="n">
        <v>1.15</v>
      </c>
      <c r="H11" s="4">
        <f>E10*F10*G10</f>
        <v/>
      </c>
      <c r="I11" s="6" t="n">
        <v>8.640000000000001</v>
      </c>
      <c r="J11" s="4">
        <f>H10*I10</f>
        <v/>
      </c>
      <c r="K11" s="4" t="inlineStr">
        <is>
          <t>По ВОР: 1 шт (периметр до 1600мм).</t>
        </is>
      </c>
    </row>
    <row r="12">
      <c r="A12" s="4" t="inlineStr">
        <is>
          <t>5</t>
        </is>
      </c>
      <c r="B12" s="5" t="inlineStr">
        <is>
          <t>УТОЧНИТЬ</t>
        </is>
      </c>
      <c r="C12" s="4" t="inlineStr">
        <is>
          <t>Вставки гибкие (тип В-6.3)</t>
        </is>
      </c>
      <c r="D12" s="4" t="inlineStr">
        <is>
          <t>м²</t>
        </is>
      </c>
      <c r="E12" s="4" t="inlineStr">
        <is>
          <t>УТОЧНИТЬ</t>
        </is>
      </c>
      <c r="F12" s="4" t="n"/>
      <c r="G12" s="5" t="inlineStr">
        <is>
          <t>УТОЧНИТЬ</t>
        </is>
      </c>
      <c r="H12" s="4" t="n"/>
      <c r="I12" s="5" t="inlineStr">
        <is>
          <t>УТОЧНИТЬ</t>
        </is>
      </c>
      <c r="J12" s="4" t="n"/>
      <c r="K12" s="4" t="inlineStr">
        <is>
          <t>ВОР: 1 шт. В смете м² — нужен диаметр вставки для пересчёта в м². Возможно, отдельная расценка за шт.</t>
        </is>
      </c>
    </row>
    <row r="13">
      <c r="A13" s="4" t="inlineStr">
        <is>
          <t>6</t>
        </is>
      </c>
      <c r="B13" s="4" t="inlineStr">
        <is>
          <t>ФЕР20-02-019-01</t>
        </is>
      </c>
      <c r="C13" s="4" t="inlineStr">
        <is>
          <t>Кронштейны под вентиляционное оборудование</t>
        </is>
      </c>
      <c r="D13" s="4" t="inlineStr">
        <is>
          <t>100кг</t>
        </is>
      </c>
      <c r="E13" s="6" t="n">
        <v>0.5</v>
      </c>
      <c r="F13" s="6" t="n">
        <v>928.0599999999999</v>
      </c>
      <c r="G13" s="6" t="n">
        <v>1.15</v>
      </c>
      <c r="H13" s="4">
        <f>E12*F12*G12</f>
        <v/>
      </c>
      <c r="I13" s="6" t="n">
        <v>8.640000000000001</v>
      </c>
      <c r="J13" s="4">
        <f>H12*I12</f>
        <v/>
      </c>
      <c r="K13" s="4" t="inlineStr">
        <is>
          <t>По ВОР: 50 кг = 0.5×100кг.</t>
        </is>
      </c>
    </row>
    <row r="14">
      <c r="A14" s="4" t="inlineStr">
        <is>
          <t>7</t>
        </is>
      </c>
      <c r="B14" s="5" t="inlineStr">
        <is>
          <t>УТОЧНИТЬ</t>
        </is>
      </c>
      <c r="C14" s="4" t="inlineStr">
        <is>
          <t>Виброизоляторы номер 38</t>
        </is>
      </c>
      <c r="D14" s="4" t="inlineStr">
        <is>
          <t>шт</t>
        </is>
      </c>
      <c r="E14" s="6" t="n">
        <v>4</v>
      </c>
      <c r="F14" s="4" t="n"/>
      <c r="G14" s="5" t="inlineStr">
        <is>
          <t>УТОЧНИТЬ</t>
        </is>
      </c>
      <c r="H14" s="4" t="n"/>
      <c r="I14" s="5" t="inlineStr">
        <is>
          <t>УТОЧНИТЬ</t>
        </is>
      </c>
      <c r="J14" s="4" t="n"/>
      <c r="K14" s="4" t="inlineStr">
        <is>
          <t>ВОР: 4 шт. Код ФЕР требует уточнения (сметчик проверит в ГРАНДе).</t>
        </is>
      </c>
    </row>
    <row r="15">
      <c r="A15" s="4" t="inlineStr">
        <is>
          <t>8</t>
        </is>
      </c>
      <c r="B15" s="5" t="inlineStr">
        <is>
          <t>УТОЧНИТЬ КОД</t>
        </is>
      </c>
      <c r="C15" s="4" t="inlineStr">
        <is>
          <t>Воздуховоды оцинкованной стали (7 типов по ВОР)</t>
        </is>
      </c>
      <c r="D15" s="4" t="inlineStr">
        <is>
          <t>пог.м</t>
        </is>
      </c>
      <c r="E15" s="4" t="n">
        <v>100</v>
      </c>
      <c r="F15" s="5" t="inlineStr">
        <is>
          <t>УТОЧНИТЬ</t>
        </is>
      </c>
      <c r="G15" s="5" t="inlineStr">
        <is>
          <t>УТОЧНИТЬ</t>
        </is>
      </c>
      <c r="H15" s="4" t="n"/>
      <c r="I15" s="5" t="inlineStr">
        <is>
          <t>УТОЧНИТЬ</t>
        </is>
      </c>
      <c r="J15" s="4" t="n"/>
      <c r="K15" s="4" t="inlineStr">
        <is>
          <t>ВОР: ⌀100мм=10пм, ⌀150мм=15пм, ⌀200мм=15пм, 200×250=25пм, 250×300=20пм, 350×350=10пм, 400×400=5пм. Нужны коды ФЕР для каждого сечения + класс (Н/П).</t>
        </is>
      </c>
    </row>
    <row r="17">
      <c r="A17" s="7" t="inlineStr">
        <is>
          <t>ИТОГО ПРЯМЫЕ ЗАТРАТЫ</t>
        </is>
      </c>
      <c r="H17" s="7">
        <f>SUM(H8:H15)</f>
        <v/>
      </c>
      <c r="J17" s="7">
        <f>SUM(J8:J15)</f>
        <v/>
      </c>
    </row>
    <row r="18">
      <c r="A18" s="7" t="inlineStr">
        <is>
          <t>Накладные расходы (НР)</t>
        </is>
      </c>
      <c r="B18" s="8" t="n"/>
      <c r="C18" s="8" t="n"/>
      <c r="D18" s="8" t="n"/>
      <c r="E18" s="8" t="n"/>
      <c r="F18" s="8" t="n"/>
      <c r="G18" s="8" t="n"/>
      <c r="H18" s="8">
        <f>H17*0.15</f>
        <v/>
      </c>
      <c r="I18" s="8" t="n"/>
      <c r="J18" s="8">
        <f>J17*0.15</f>
        <v/>
      </c>
      <c r="K18" s="8" t="inlineStr">
        <is>
          <t>Типовое 15% для СМР. Точный % по шифру строительства — уточнить в ГРАНДе.</t>
        </is>
      </c>
    </row>
    <row r="19">
      <c r="A19" s="7" t="inlineStr">
        <is>
          <t>Сметная прибыль (СП)</t>
        </is>
      </c>
      <c r="B19" s="8" t="n"/>
      <c r="C19" s="8" t="n"/>
      <c r="D19" s="8" t="n"/>
      <c r="E19" s="8" t="n"/>
      <c r="F19" s="8" t="n"/>
      <c r="G19" s="8" t="n"/>
      <c r="H19" s="8">
        <f>H17*0.12</f>
        <v/>
      </c>
      <c r="I19" s="8" t="n"/>
      <c r="J19" s="8">
        <f>J17*0.12</f>
        <v/>
      </c>
      <c r="K19" s="8" t="inlineStr">
        <is>
          <t>Типовое 12% для СМР. Точный % по шифру строительства — уточнить в ГРАНДе.</t>
        </is>
      </c>
    </row>
    <row r="20">
      <c r="A20" s="9" t="inlineStr">
        <is>
          <t>ВСЕГО ПО СМЕТЕ</t>
        </is>
      </c>
      <c r="H20" s="9">
        <f>H17+H18+H19</f>
        <v/>
      </c>
      <c r="J20" s="9">
        <f>J17+J18+J19</f>
        <v/>
      </c>
    </row>
    <row r="22">
      <c r="A22" s="10" t="inlineStr">
        <is>
          <t>КОММЕНТАРИИ СМЕТЧИКА (требуют отработки):</t>
        </is>
      </c>
    </row>
    <row r="23">
      <c r="A23" s="11" t="inlineStr">
        <is>
          <t>1. ИНДЕКСЫ: В смете указан общий индекс СМР 8.64. Сметчик указал, что нужны индексы по статьям прямых затрат: Оплата труда (INDEX_ZP), Материалы (INDEX_MAT), Эксплуатация машин (INDEX_MACH). Источник: письма Минстроя. Без проверки в ГРАНДе не заполняю.</t>
        </is>
      </c>
    </row>
    <row r="24">
      <c r="A24" s="11" t="inlineStr">
        <is>
          <t>2. ПОПРАВКА: Условия производства в ВОР (работа в действующем здании) — для монтажных расценок (сборник 20) применяется К=1.15 (п.4.16). Для строительных сборников — К=1.35. Сметчик уточнит, какие сборники применяются.</t>
        </is>
      </c>
    </row>
    <row r="25">
      <c r="A25" s="11" t="inlineStr">
        <is>
          <t>3. ПОЗИЦИИ 13-14: Дефлекторы и сплит-системы — УДАЛЕНЫ (нет в ВОР).</t>
        </is>
      </c>
    </row>
    <row r="26">
      <c r="A26" s="11" t="inlineStr">
        <is>
          <t>4. ОБЪЁМЫ: Исправлены строго по ВОР (решетки 20шт, клапаны 1шт, заслонки 1шт, кронштейны 50кг).</t>
        </is>
      </c>
    </row>
    <row r="27">
      <c r="A27" s="11" t="inlineStr">
        <is>
          <t>5. ВЕНТИЛЯТОР: В ВОР — ВР 80-75 №6.3, 1 шт. Масса неизвестна, поэтому код ФЕР не заполнен. Сметчик подберёт по массе в ГРАНДе.</t>
        </is>
      </c>
    </row>
    <row r="28">
      <c r="A28" s="11" t="inlineStr">
        <is>
          <t>6. ВСТАВКИ ГИБКИЕ: ВОР — 1 шт. В смете м² — нужно уточнить диаметр или применить расценку за шт.</t>
        </is>
      </c>
    </row>
    <row r="29">
      <c r="A29" s="11" t="inlineStr">
        <is>
          <t>7. ВИБРОИЗОЛЯТОРЫ: ВОР — 4 шт. Код ФЕР требует уточнения.</t>
        </is>
      </c>
    </row>
    <row r="30">
      <c r="A30" s="11" t="inlineStr">
        <is>
          <t>8. ВОЗДУХОВОДЫ: ВОР — 7 типов сечений. Нужен подбор кода ФЕР для каждого + класс (Н/П) + пересчёт пог.м в м² (если расценка за 100м²).</t>
        </is>
      </c>
    </row>
    <row r="31">
      <c r="A31" s="11" t="inlineStr">
        <is>
          <t>9. НР и СП: Добавлены типовые 15% и 12%. Точные значения по шифру строительства — уточнить в ГРАНДе.</t>
        </is>
      </c>
    </row>
  </sheetData>
  <mergeCells count="14">
    <mergeCell ref="A22:K22"/>
    <mergeCell ref="A3:K3"/>
    <mergeCell ref="A26:K26"/>
    <mergeCell ref="A30:K30"/>
    <mergeCell ref="A29:K29"/>
    <mergeCell ref="A25:K25"/>
    <mergeCell ref="A24:K24"/>
    <mergeCell ref="A2:K2"/>
    <mergeCell ref="A28:K28"/>
    <mergeCell ref="A5:K5"/>
    <mergeCell ref="A1:K1"/>
    <mergeCell ref="A23:K23"/>
    <mergeCell ref="A27:K2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2026-06-27T19:21:27Z</dcterms:created>
  <dcterms:modified xmlns:dcterms="http://purl.org/dc/terms/" xmlns:xsi="http://www.w3.org/2001/XMLSchema-instance" xsi:type="dcterms:W3CDTF">2026-06-27T19:21:27Z</dcterms:modified>
</cp:coreProperties>
</file>