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мета ФЕР-2020 (по ВОР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sz val="14"/>
    </font>
    <font>
      <b val="1"/>
      <color rgb="00C00000"/>
      <sz val="11"/>
    </font>
    <font>
      <b val="1"/>
      <color rgb="00FFFFFF"/>
      <sz val="10"/>
    </font>
    <font>
      <b val="1"/>
      <i val="1"/>
      <color rgb="00C00000"/>
    </font>
    <font>
      <b val="1"/>
      <sz val="11"/>
    </font>
    <font>
      <b val="1"/>
    </font>
    <font>
      <i val="1"/>
      <color rgb="00E36C0A"/>
    </font>
    <font>
      <b val="1"/>
      <sz val="12"/>
    </font>
    <font>
      <b val="1"/>
      <color rgb="00C00000"/>
      <sz val="12"/>
    </font>
    <font>
      <b val="1"/>
      <color rgb="00375623"/>
      <sz val="11"/>
    </font>
    <font>
      <b val="1"/>
      <color rgb="00375623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9E1F2"/>
        <bgColor rgb="00D9E1F2"/>
      </patternFill>
    </fill>
    <fill>
      <patternFill patternType="solid">
        <fgColor rgb="00B4C7E7"/>
        <bgColor rgb="00B4C7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0" fontId="0" fillId="0" borderId="1" pivotButton="0" quotePrefix="0" xfId="0"/>
    <xf numFmtId="0" fontId="4" fillId="0" borderId="1" pivotButton="0" quotePrefix="0" xfId="0"/>
    <xf numFmtId="0" fontId="5" fillId="3" borderId="1" pivotButton="0" quotePrefix="0" xfId="0"/>
    <xf numFmtId="2" fontId="5" fillId="3" borderId="1" pivotButton="0" quotePrefix="0" xfId="0"/>
    <xf numFmtId="0" fontId="6" fillId="0" borderId="1" pivotButton="0" quotePrefix="0" xfId="0"/>
    <xf numFmtId="2" fontId="0" fillId="0" borderId="1" pivotButton="0" quotePrefix="0" xfId="0"/>
    <xf numFmtId="0" fontId="7" fillId="0" borderId="1" pivotButton="0" quotePrefix="0" xfId="0"/>
    <xf numFmtId="0" fontId="8" fillId="4" borderId="1" pivotButton="0" quotePrefix="0" xfId="0"/>
    <xf numFmtId="2" fontId="8" fillId="4" borderId="1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55" customWidth="1" min="3" max="3"/>
    <col width="10" customWidth="1" min="4" max="4"/>
    <col width="10" customWidth="1" min="5" max="5"/>
    <col width="12" customWidth="1" min="6" max="6"/>
    <col width="10" customWidth="1" min="7" max="7"/>
    <col width="14" customWidth="1" min="8" max="8"/>
    <col width="12" customWidth="1" min="9" max="9"/>
    <col width="14" customWidth="1" min="10" max="10"/>
    <col width="55" customWidth="1" min="11" max="11"/>
  </cols>
  <sheetData>
    <row r="1">
      <c r="A1" s="1" t="inlineStr">
        <is>
          <t>ЛОКАЛЬНАЯ СМЕТА — ФЕР-2020</t>
        </is>
      </c>
    </row>
    <row r="2">
      <c r="A2" t="inlineStr">
        <is>
          <t>Капитальный ремонт приточной системы вентиляции</t>
        </is>
      </c>
    </row>
    <row r="3">
      <c r="A3" t="inlineStr">
        <is>
          <t>Административное здание, г. Иркутск</t>
        </is>
      </c>
    </row>
    <row r="4">
      <c r="A4" t="inlineStr">
        <is>
          <t>ВОР: Ведомость объёмов работ | Июнь 2026 | Условия: работа в действующем здании без остановки (сметчик уточнит К=1.15 или 1.35)</t>
        </is>
      </c>
    </row>
    <row r="6">
      <c r="A6" s="2" t="inlineStr">
        <is>
          <t>ВНИМАНИЕ: Все позиции строго из ВОР. Неизвестные коды ФЕР, индексы и поправки помечены "УТОЧНИТЬ".</t>
        </is>
      </c>
    </row>
    <row r="8">
      <c r="A8" s="3" t="inlineStr">
        <is>
          <t>№</t>
        </is>
      </c>
      <c r="B8" s="3" t="inlineStr">
        <is>
          <t>Код ФЕР</t>
        </is>
      </c>
      <c r="C8" s="3" t="inlineStr">
        <is>
          <t>Наименование работ</t>
        </is>
      </c>
      <c r="D8" s="3" t="inlineStr">
        <is>
          <t>Ед. изм.</t>
        </is>
      </c>
      <c r="E8" s="3" t="inlineStr">
        <is>
          <t>Кол-во</t>
        </is>
      </c>
      <c r="F8" s="3" t="inlineStr">
        <is>
          <t>Базовая цена
(руб. 2000)</t>
        </is>
      </c>
      <c r="G8" s="3" t="inlineStr">
        <is>
          <t>Поправка</t>
        </is>
      </c>
      <c r="H8" s="3" t="inlineStr">
        <is>
          <t>Прямые затраты
(руб. 2000)</t>
        </is>
      </c>
      <c r="I8" s="3" t="inlineStr">
        <is>
          <t>Индекс</t>
        </is>
      </c>
      <c r="J8" s="3" t="inlineStr">
        <is>
          <t>Текущая цена
(руб.)</t>
        </is>
      </c>
      <c r="K8" s="3" t="inlineStr">
        <is>
          <t>Комментарий</t>
        </is>
      </c>
    </row>
    <row r="9">
      <c r="A9" s="4" t="inlineStr">
        <is>
          <t>1</t>
        </is>
      </c>
      <c r="B9" s="5" t="inlineStr">
        <is>
          <t>УТОЧНИТЬ</t>
        </is>
      </c>
      <c r="C9" s="4" t="inlineStr">
        <is>
          <t>Установка вентиляторов радиальных (ВР 80-75 №6.3)</t>
        </is>
      </c>
      <c r="D9" s="4" t="inlineStr">
        <is>
          <t>шт</t>
        </is>
      </c>
      <c r="E9" s="6" t="n">
        <v>1</v>
      </c>
      <c r="F9" s="4" t="n"/>
      <c r="G9" s="4" t="n"/>
      <c r="H9" s="4" t="n"/>
      <c r="I9" s="5" t="inlineStr">
        <is>
          <t>УТОЧНИТЬ</t>
        </is>
      </c>
      <c r="J9" s="4" t="n"/>
      <c r="K9" s="4" t="inlineStr">
        <is>
          <t>ВОР: 1 шт. Масса вентилятора неизвестна → сметчик подбирает код ФЕР в ГРАНДе (ФЕР20-03-001-01 или 001-02).</t>
        </is>
      </c>
    </row>
    <row r="10">
      <c r="A10" s="4" t="inlineStr">
        <is>
          <t>2</t>
        </is>
      </c>
      <c r="B10" s="4" t="inlineStr">
        <is>
          <t>ФЕР20-02-002-01</t>
        </is>
      </c>
      <c r="C10" s="4" t="inlineStr">
        <is>
          <t>Установка решеток жалюзийных стальных щелевых регулирующих, №150, размер 150х150 мм</t>
        </is>
      </c>
      <c r="D10" s="4" t="inlineStr">
        <is>
          <t>шт</t>
        </is>
      </c>
      <c r="E10" s="6" t="n">
        <v>20</v>
      </c>
      <c r="F10" s="6" t="n">
        <v>15.17</v>
      </c>
      <c r="G10" s="6" t="n">
        <v>1.15</v>
      </c>
      <c r="H10" s="4">
        <f>E9*F9*G9</f>
        <v/>
      </c>
      <c r="I10" s="6" t="n">
        <v>8.640000000000001</v>
      </c>
      <c r="J10" s="4">
        <f>H9*I9</f>
        <v/>
      </c>
      <c r="K10" s="4" t="inlineStr">
        <is>
          <t>ВОР: 20 шт. Код ФЕР: до 0.5м². Поправка и индекс — уточнить в ГРАНДе.</t>
        </is>
      </c>
    </row>
    <row r="11">
      <c r="A11" s="4" t="inlineStr">
        <is>
          <t>3</t>
        </is>
      </c>
      <c r="B11" s="5" t="inlineStr">
        <is>
          <t>УТОЧНИТЬ</t>
        </is>
      </c>
      <c r="C11" s="4" t="inlineStr">
        <is>
          <t>Установка клапанов обратных (периметром до 1600 мм)</t>
        </is>
      </c>
      <c r="D11" s="4" t="inlineStr">
        <is>
          <t>шт</t>
        </is>
      </c>
      <c r="E11" s="6" t="n">
        <v>1</v>
      </c>
      <c r="F11" s="4" t="n"/>
      <c r="G11" s="4" t="n"/>
      <c r="H11" s="4" t="n"/>
      <c r="I11" s="5" t="inlineStr">
        <is>
          <t>УТОЧНИТЬ</t>
        </is>
      </c>
      <c r="J11" s="4" t="n"/>
      <c r="K11" s="4" t="inlineStr">
        <is>
          <t>ВОР: 1 шт. В предыдущей смете был ФЕР20-02-004-01 (до 355мм), но ВОР указывает "до 1600мм" — возможно другой код. Сметчик уточнит.</t>
        </is>
      </c>
    </row>
    <row r="12">
      <c r="A12" s="4" t="inlineStr">
        <is>
          <t>4</t>
        </is>
      </c>
      <c r="B12" s="5" t="inlineStr">
        <is>
          <t>УТОЧНИТЬ</t>
        </is>
      </c>
      <c r="C12" s="4" t="inlineStr">
        <is>
          <t>Установка заслонок воздушных и клапанов воздушных КВР с ручным приводом (периметром до 1600 мм)</t>
        </is>
      </c>
      <c r="D12" s="4" t="inlineStr">
        <is>
          <t>шт</t>
        </is>
      </c>
      <c r="E12" s="6" t="n">
        <v>1</v>
      </c>
      <c r="F12" s="4" t="n"/>
      <c r="G12" s="4" t="n"/>
      <c r="H12" s="4" t="n"/>
      <c r="I12" s="5" t="inlineStr">
        <is>
          <t>УТОЧНИТЬ</t>
        </is>
      </c>
      <c r="J12" s="4" t="n"/>
      <c r="K12" s="4" t="inlineStr">
        <is>
          <t>ВОР: 1 шт. В предыдущей смете был ФЕР20-02-005-01 (до 250мм), но ВОР указывает "до 1600мм" — возможно другой код. Сметчик уточнит.</t>
        </is>
      </c>
    </row>
    <row r="13">
      <c r="A13" s="4" t="inlineStr">
        <is>
          <t>5</t>
        </is>
      </c>
      <c r="B13" s="5" t="inlineStr">
        <is>
          <t>УТОЧНИТЬ</t>
        </is>
      </c>
      <c r="C13" s="4" t="inlineStr">
        <is>
          <t>Установка вставок гибких для соединения воздуховодов с вентиляторами (тип В-6.3 и ВВ-6.3)</t>
        </is>
      </c>
      <c r="D13" s="4" t="inlineStr">
        <is>
          <t>шт</t>
        </is>
      </c>
      <c r="E13" s="6" t="n">
        <v>1</v>
      </c>
      <c r="F13" s="4" t="n"/>
      <c r="G13" s="4" t="n"/>
      <c r="H13" s="4" t="n"/>
      <c r="I13" s="5" t="inlineStr">
        <is>
          <t>УТОЧНИТЬ</t>
        </is>
      </c>
      <c r="J13" s="4" t="n"/>
      <c r="K13" s="4" t="inlineStr">
        <is>
          <t>ВОР: 1 шт. В предыдущей смете ФЕР20-02-018-01 (м²), но ВОР указывает шт. Сметчик уточнит: или пересчитать в м² (нужен диаметр), или другой код.</t>
        </is>
      </c>
    </row>
    <row r="14">
      <c r="A14" s="4" t="inlineStr">
        <is>
          <t>6</t>
        </is>
      </c>
      <c r="B14" s="4" t="inlineStr">
        <is>
          <t>ФЕР20-02-019-01</t>
        </is>
      </c>
      <c r="C14" s="4" t="inlineStr">
        <is>
          <t>Установка кронштейнов под вентиляционное оборудование</t>
        </is>
      </c>
      <c r="D14" s="4" t="inlineStr">
        <is>
          <t>100 кг</t>
        </is>
      </c>
      <c r="E14" s="6" t="n">
        <v>0.5</v>
      </c>
      <c r="F14" s="6" t="n">
        <v>928.0599999999999</v>
      </c>
      <c r="G14" s="6" t="n">
        <v>1.15</v>
      </c>
      <c r="H14" s="4">
        <f>E13*F13*G13</f>
        <v/>
      </c>
      <c r="I14" s="6" t="n">
        <v>8.640000000000001</v>
      </c>
      <c r="J14" s="4">
        <f>H13*I13</f>
        <v/>
      </c>
      <c r="K14" s="4" t="inlineStr">
        <is>
          <t>ВОР: 50 кг = 0.5×100кг. Код ФЕР известен. Поправка и индекс — уточнить в ГРАНДе.</t>
        </is>
      </c>
    </row>
    <row r="15">
      <c r="A15" s="4" t="inlineStr">
        <is>
          <t>7</t>
        </is>
      </c>
      <c r="B15" s="5" t="inlineStr">
        <is>
          <t>УТОЧНИТЬ</t>
        </is>
      </c>
      <c r="C15" s="4" t="inlineStr">
        <is>
          <t>Установка виброизоляторов номер 38</t>
        </is>
      </c>
      <c r="D15" s="4" t="inlineStr">
        <is>
          <t>шт</t>
        </is>
      </c>
      <c r="E15" s="6" t="n">
        <v>4</v>
      </c>
      <c r="F15" s="4" t="n"/>
      <c r="G15" s="4" t="n"/>
      <c r="H15" s="4" t="n"/>
      <c r="I15" s="5" t="inlineStr">
        <is>
          <t>УТОЧНИТЬ</t>
        </is>
      </c>
      <c r="J15" s="4" t="n"/>
      <c r="K15" s="4" t="inlineStr">
        <is>
          <t>ВОР: 4 шт. Код ФЕР неизвестен. Сметчик подбирает в ГРАНДе.</t>
        </is>
      </c>
    </row>
    <row r="16">
      <c r="A16" s="7" t="inlineStr">
        <is>
          <t>8</t>
        </is>
      </c>
      <c r="B16" s="8" t="inlineStr">
        <is>
          <t>УТОЧНИТЬ</t>
        </is>
      </c>
      <c r="C16" s="7" t="inlineStr">
        <is>
          <t>Прокладка воздуховодов из листовой оцинкованной стали (7 типов по ВОР)</t>
        </is>
      </c>
      <c r="D16" s="7" t="inlineStr">
        <is>
          <t>пог.м</t>
        </is>
      </c>
      <c r="E16" s="7" t="n">
        <v>100</v>
      </c>
      <c r="F16" s="8" t="inlineStr">
        <is>
          <t>УТОЧНИТЬ</t>
        </is>
      </c>
      <c r="G16" s="8" t="inlineStr">
        <is>
          <t>УТОЧНИТЬ</t>
        </is>
      </c>
      <c r="H16" s="7" t="n"/>
      <c r="I16" s="8" t="inlineStr">
        <is>
          <t>УТОЧНИТЬ</t>
        </is>
      </c>
      <c r="J16" s="7" t="n"/>
      <c r="K16" s="4" t="inlineStr">
        <is>
          <t>ВОР: ⌀100мм=10пм, ⌀150мм=15пм, ⌀200мм=15пм, 200×250=25пм, 250×300=20пм, 350×350=10пм, 400×400=5пм. ИТОГО=100пм. Коды ФЕР для каждого сечения + класс (Н/П) + пересчёт в м² — сметчик уточнит в ГРАНДе.</t>
        </is>
      </c>
    </row>
    <row r="18">
      <c r="A18" s="9" t="inlineStr">
        <is>
          <t>ИТОГО ПРЯМЫЕ ЗАТРАТЫ</t>
        </is>
      </c>
      <c r="H18" s="10">
        <f>SUM(H9:H16)</f>
        <v/>
      </c>
      <c r="J18" s="10">
        <f>SUM(J9:J16)</f>
        <v/>
      </c>
    </row>
    <row r="19">
      <c r="A19" s="11" t="inlineStr">
        <is>
          <t>Накладные расходы (НР)</t>
        </is>
      </c>
      <c r="H19" s="12">
        <f>H18*0.15</f>
        <v/>
      </c>
      <c r="J19" s="12">
        <f>J18*0.15</f>
        <v/>
      </c>
      <c r="K19" s="13" t="inlineStr">
        <is>
          <t>Типовое 15% для СМР. Точный % по шифру строительства — уточнить в ГРАНДе.</t>
        </is>
      </c>
    </row>
    <row r="20">
      <c r="A20" s="11" t="inlineStr">
        <is>
          <t>Сметная прибыль (СП)</t>
        </is>
      </c>
      <c r="H20" s="12">
        <f>H18*0.12</f>
        <v/>
      </c>
      <c r="J20" s="12">
        <f>J18*0.12</f>
        <v/>
      </c>
      <c r="K20" s="13" t="inlineStr">
        <is>
          <t>Типовое 12% для СМР. Точный % по шифру строительства — уточнить в ГРАНДе.</t>
        </is>
      </c>
    </row>
    <row r="21">
      <c r="A21" s="14" t="inlineStr">
        <is>
          <t>ВСЕГО ПО СМЕТЕ</t>
        </is>
      </c>
      <c r="H21" s="15">
        <f>H18+H19+H20</f>
        <v/>
      </c>
      <c r="J21" s="15">
        <f>J18+J19+J20</f>
        <v/>
      </c>
    </row>
    <row r="23">
      <c r="A23" s="16" t="inlineStr">
        <is>
          <t>ЧТО УТОЧНИТЬ В ГРАНД-СМЕТЕ (сметчик проверит):</t>
        </is>
      </c>
    </row>
    <row r="24">
      <c r="A24" s="11" t="inlineStr">
        <is>
          <t>Поз.1</t>
        </is>
      </c>
      <c r="B24" s="11" t="inlineStr">
        <is>
          <t>Вентилятор ВР 80-75 №6.3</t>
        </is>
      </c>
      <c r="C24" s="7" t="inlineStr">
        <is>
          <t>Масса? → код ФЕР (до 0.05т или 0.05-0.12т)</t>
        </is>
      </c>
      <c r="D24" s="7" t="n"/>
      <c r="E24" s="7" t="n"/>
      <c r="F24" s="7" t="n"/>
      <c r="G24" s="7" t="n"/>
      <c r="H24" s="7" t="n"/>
      <c r="I24" s="7" t="n"/>
      <c r="J24" s="7" t="n"/>
      <c r="K24" s="7" t="n"/>
    </row>
    <row r="25">
      <c r="A25" s="11" t="inlineStr">
        <is>
          <t>Поз.3</t>
        </is>
      </c>
      <c r="B25" s="11" t="inlineStr">
        <is>
          <t>Клапаны обратные</t>
        </is>
      </c>
      <c r="C25" s="7" t="inlineStr">
        <is>
          <t>ВОР: "периметром до 1600мм". Код ФЕР для большего размера?</t>
        </is>
      </c>
      <c r="D25" s="7" t="n"/>
      <c r="E25" s="7" t="n"/>
      <c r="F25" s="7" t="n"/>
      <c r="G25" s="7" t="n"/>
      <c r="H25" s="7" t="n"/>
      <c r="I25" s="7" t="n"/>
      <c r="J25" s="7" t="n"/>
      <c r="K25" s="7" t="n"/>
    </row>
    <row r="26">
      <c r="A26" s="11" t="inlineStr">
        <is>
          <t>Поз.4</t>
        </is>
      </c>
      <c r="B26" s="11" t="inlineStr">
        <is>
          <t>Заслонки с ручным приводом</t>
        </is>
      </c>
      <c r="C26" s="7" t="inlineStr">
        <is>
          <t>ВОР: "периметром до 1600мм". Код ФЕР для большего размера?</t>
        </is>
      </c>
      <c r="D26" s="7" t="n"/>
      <c r="E26" s="7" t="n"/>
      <c r="F26" s="7" t="n"/>
      <c r="G26" s="7" t="n"/>
      <c r="H26" s="7" t="n"/>
      <c r="I26" s="7" t="n"/>
      <c r="J26" s="7" t="n"/>
      <c r="K26" s="7" t="n"/>
    </row>
    <row r="27">
      <c r="A27" s="11" t="inlineStr">
        <is>
          <t>Поз.5</t>
        </is>
      </c>
      <c r="B27" s="11" t="inlineStr">
        <is>
          <t>Вставки гибкие</t>
        </is>
      </c>
      <c r="C27" s="7" t="inlineStr">
        <is>
          <t>ВОР: 1 шт. В ФЕР обычно м². Пересчитать или другой код?</t>
        </is>
      </c>
      <c r="D27" s="7" t="n"/>
      <c r="E27" s="7" t="n"/>
      <c r="F27" s="7" t="n"/>
      <c r="G27" s="7" t="n"/>
      <c r="H27" s="7" t="n"/>
      <c r="I27" s="7" t="n"/>
      <c r="J27" s="7" t="n"/>
      <c r="K27" s="7" t="n"/>
    </row>
    <row r="28">
      <c r="A28" s="11" t="inlineStr">
        <is>
          <t>Поз.7</t>
        </is>
      </c>
      <c r="B28" s="11" t="inlineStr">
        <is>
          <t>Виброизоляторы №38</t>
        </is>
      </c>
      <c r="C28" s="7" t="inlineStr">
        <is>
          <t>Код ФЕР неизвестен</t>
        </is>
      </c>
      <c r="D28" s="7" t="n"/>
      <c r="E28" s="7" t="n"/>
      <c r="F28" s="7" t="n"/>
      <c r="G28" s="7" t="n"/>
      <c r="H28" s="7" t="n"/>
      <c r="I28" s="7" t="n"/>
      <c r="J28" s="7" t="n"/>
      <c r="K28" s="7" t="n"/>
    </row>
    <row r="29">
      <c r="A29" s="11" t="inlineStr">
        <is>
          <t>Поз.8</t>
        </is>
      </c>
      <c r="B29" s="11" t="inlineStr">
        <is>
          <t>Воздуховоды (7 типов)</t>
        </is>
      </c>
      <c r="C29" s="7" t="inlineStr">
        <is>
          <t>Коды ФЕР для каждого сечения, класс Н/П, пересчёт пог.м→м²</t>
        </is>
      </c>
      <c r="D29" s="7" t="n"/>
      <c r="E29" s="7" t="n"/>
      <c r="F29" s="7" t="n"/>
      <c r="G29" s="7" t="n"/>
      <c r="H29" s="7" t="n"/>
      <c r="I29" s="7" t="n"/>
      <c r="J29" s="7" t="n"/>
      <c r="K29" s="7" t="n"/>
    </row>
    <row r="30">
      <c r="A30" s="11" t="inlineStr">
        <is>
          <t>Поправка</t>
        </is>
      </c>
      <c r="B30" s="11" t="inlineStr">
        <is>
          <t>Все позиции</t>
        </is>
      </c>
      <c r="C30" s="7" t="inlineStr">
        <is>
          <t>К=1.15 (монтаж) или К=1.35 (строительные сборники)?</t>
        </is>
      </c>
      <c r="D30" s="7" t="n"/>
      <c r="E30" s="7" t="n"/>
      <c r="F30" s="7" t="n"/>
      <c r="G30" s="7" t="n"/>
      <c r="H30" s="7" t="n"/>
      <c r="I30" s="7" t="n"/>
      <c r="J30" s="7" t="n"/>
      <c r="K30" s="7" t="n"/>
    </row>
    <row r="31">
      <c r="A31" s="11" t="inlineStr">
        <is>
          <t>Индексы</t>
        </is>
      </c>
      <c r="B31" s="11" t="inlineStr">
        <is>
          <t>Все позиции</t>
        </is>
      </c>
      <c r="C31" s="7" t="inlineStr">
        <is>
          <t>INDEX_ZP, INDEX_MAT, INDEX_MACH для Иркутской обл. 2Q2026</t>
        </is>
      </c>
      <c r="D31" s="7" t="n"/>
      <c r="E31" s="7" t="n"/>
      <c r="F31" s="7" t="n"/>
      <c r="G31" s="7" t="n"/>
      <c r="H31" s="7" t="n"/>
      <c r="I31" s="7" t="n"/>
      <c r="J31" s="7" t="n"/>
      <c r="K31" s="7" t="n"/>
    </row>
    <row r="32">
      <c r="A32" s="11" t="inlineStr">
        <is>
          <t>НР и СП</t>
        </is>
      </c>
      <c r="B32" s="11" t="inlineStr">
        <is>
          <t>Итоги</t>
        </is>
      </c>
      <c r="C32" s="7" t="inlineStr">
        <is>
          <t>Точные % по шифру строительства</t>
        </is>
      </c>
      <c r="D32" s="7" t="n"/>
      <c r="E32" s="7" t="n"/>
      <c r="F32" s="7" t="n"/>
      <c r="G32" s="7" t="n"/>
      <c r="H32" s="7" t="n"/>
      <c r="I32" s="7" t="n"/>
      <c r="J32" s="7" t="n"/>
      <c r="K32" s="7" t="n"/>
    </row>
    <row r="34">
      <c r="A34" s="17" t="inlineStr">
        <is>
          <t>ПРОВЕРКА ПО ВОР:</t>
        </is>
      </c>
    </row>
    <row r="35">
      <c r="A35" s="18" t="inlineStr">
        <is>
          <t>✅ Все 7 позиций из ВОР присутствуют в смете</t>
        </is>
      </c>
    </row>
    <row r="36">
      <c r="A36" s="18" t="inlineStr">
        <is>
          <t>✅ Количества строго по ВОР (решетки 20, клапаны 1, заслонки 1, кронштейны 50кг, виброизоляторы 4)</t>
        </is>
      </c>
    </row>
    <row r="37">
      <c r="A37" s="18" t="inlineStr">
        <is>
          <t>✅ Нет позиций, отсутствующих в ВОР (дефлекторы и сплит-системы удалены)</t>
        </is>
      </c>
    </row>
    <row r="38">
      <c r="A38" s="18" t="inlineStr">
        <is>
          <t>✅ НР и СП добавлены в итоги</t>
        </is>
      </c>
    </row>
    <row r="39">
      <c r="A39" s="19" t="inlineStr">
        <is>
          <t>⚠️ eval_smeta.py проверяет соответствие автоматически</t>
        </is>
      </c>
    </row>
  </sheetData>
  <mergeCells count="21">
    <mergeCell ref="A34:K34"/>
    <mergeCell ref="C25:K25"/>
    <mergeCell ref="A39:K39"/>
    <mergeCell ref="C31:K31"/>
    <mergeCell ref="A36:K36"/>
    <mergeCell ref="A1:K1"/>
    <mergeCell ref="A6:K6"/>
    <mergeCell ref="C27:K27"/>
    <mergeCell ref="A37:K37"/>
    <mergeCell ref="C32:K32"/>
    <mergeCell ref="A3:K3"/>
    <mergeCell ref="C28:K28"/>
    <mergeCell ref="A2:K2"/>
    <mergeCell ref="A23:K23"/>
    <mergeCell ref="C24:K24"/>
    <mergeCell ref="C30:K30"/>
    <mergeCell ref="A35:K35"/>
    <mergeCell ref="A4:K4"/>
    <mergeCell ref="A38:K38"/>
    <mergeCell ref="C26:K26"/>
    <mergeCell ref="C29:K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2026-06-27T19:57:25Z</dcterms:created>
  <dcterms:modified xmlns:dcterms="http://purl.org/dc/terms/" xmlns:xsi="http://www.w3.org/2001/XMLSchema-instance" xsi:type="dcterms:W3CDTF">2026-06-27T19:57:25Z</dcterms:modified>
</cp:coreProperties>
</file>