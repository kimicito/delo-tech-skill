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ФЕР-2020 (исправленная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i val="1"/>
      <color rgb="00C00000"/>
    </font>
    <font>
      <b val="1"/>
      <color rgb="00C00000"/>
    </font>
    <font>
      <b val="1"/>
      <sz val="10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6" fillId="4" borderId="1" pivotButton="0" quotePrefix="0" xfId="0"/>
    <xf numFmtId="2" fontId="6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0" customWidth="1" min="5" max="5"/>
    <col width="12" customWidth="1" min="6" max="6"/>
    <col width="8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ЛОКАЛЬНАЯ СМЕТА — ФЕР-2020 (исправленная по замечаниям)</t>
        </is>
      </c>
    </row>
    <row r="2">
      <c r="A2" t="inlineStr">
        <is>
          <t>Капитальный ремонт приточной системы вентиляции | Административное здание, г. Иркутск</t>
        </is>
      </c>
    </row>
    <row r="3">
      <c r="A3" t="inlineStr">
        <is>
          <t>Коэффициент 1.15 (п.4.16 ФЕР-2020) | Индекс СМР Иркутская обл. (1 зона) 2Q2026 = 8.64 | Письмо №20212-ИФ/09 от 08.04.2026</t>
        </is>
      </c>
    </row>
    <row r="5">
      <c r="A5" s="2" t="inlineStr">
        <is>
          <t>№</t>
        </is>
      </c>
      <c r="B5" s="2" t="inlineStr">
        <is>
          <t>Код ФЕР</t>
        </is>
      </c>
      <c r="C5" s="2" t="inlineStr">
        <is>
          <t>Наименование</t>
        </is>
      </c>
      <c r="D5" s="2" t="inlineStr">
        <is>
          <t>Ед</t>
        </is>
      </c>
      <c r="E5" s="2" t="inlineStr">
        <is>
          <t>Кол-во</t>
        </is>
      </c>
      <c r="F5" s="2" t="inlineStr">
        <is>
          <t>Базовая цена</t>
        </is>
      </c>
      <c r="G5" s="2" t="inlineStr">
        <is>
          <t>К=1.15</t>
        </is>
      </c>
      <c r="H5" s="2" t="inlineStr">
        <is>
          <t>Сумма баз.</t>
        </is>
      </c>
      <c r="I5" s="2" t="inlineStr">
        <is>
          <t>Индекс 8.64</t>
        </is>
      </c>
      <c r="J5" s="2" t="inlineStr">
        <is>
          <t>Текущая сумма</t>
        </is>
      </c>
    </row>
    <row r="6">
      <c r="A6" s="3" t="inlineStr">
        <is>
          <t>1</t>
        </is>
      </c>
      <c r="B6" s="3" t="inlineStr">
        <is>
          <t>ФЕР20-03-001-01</t>
        </is>
      </c>
      <c r="C6" s="3" t="inlineStr">
        <is>
          <t>Вентиляторы радиальные до 0.05т</t>
        </is>
      </c>
      <c r="D6" s="3" t="inlineStr">
        <is>
          <t>шт</t>
        </is>
      </c>
      <c r="E6" s="4" t="n">
        <v>1</v>
      </c>
      <c r="F6" s="4" t="n">
        <v>71.77</v>
      </c>
      <c r="G6" s="4" t="n">
        <v>1.15</v>
      </c>
      <c r="H6" s="3">
        <f>E6*F6*G6</f>
        <v/>
      </c>
      <c r="I6" s="4" t="n">
        <v>8.640000000000001</v>
      </c>
      <c r="J6" s="3">
        <f>H6*I6</f>
        <v/>
      </c>
    </row>
    <row r="7">
      <c r="A7" s="3" t="inlineStr">
        <is>
          <t>2</t>
        </is>
      </c>
      <c r="B7" s="3" t="inlineStr">
        <is>
          <t>ФЕР20-02-002-01</t>
        </is>
      </c>
      <c r="C7" s="3" t="inlineStr">
        <is>
          <t>Решетки жалюзийные до 0.5м²</t>
        </is>
      </c>
      <c r="D7" s="3" t="inlineStr">
        <is>
          <t>шт</t>
        </is>
      </c>
      <c r="E7" s="4" t="n">
        <v>20</v>
      </c>
      <c r="F7" s="4" t="n">
        <v>15.17</v>
      </c>
      <c r="G7" s="4" t="n">
        <v>1.15</v>
      </c>
      <c r="H7" s="3">
        <f>E7*F7*G7</f>
        <v/>
      </c>
      <c r="I7" s="4" t="n">
        <v>8.640000000000001</v>
      </c>
      <c r="J7" s="3">
        <f>H7*I7</f>
        <v/>
      </c>
    </row>
    <row r="8">
      <c r="A8" s="3" t="inlineStr">
        <is>
          <t>3</t>
        </is>
      </c>
      <c r="B8" s="3" t="inlineStr">
        <is>
          <t>ФЕР20-02-004-01</t>
        </is>
      </c>
      <c r="C8" s="3" t="inlineStr">
        <is>
          <t>Клапаны обратные до 355мм</t>
        </is>
      </c>
      <c r="D8" s="3" t="inlineStr">
        <is>
          <t>шт</t>
        </is>
      </c>
      <c r="E8" s="4" t="n">
        <v>1</v>
      </c>
      <c r="F8" s="4" t="n">
        <v>18.09</v>
      </c>
      <c r="G8" s="4" t="n">
        <v>1.15</v>
      </c>
      <c r="H8" s="3">
        <f>E8*F8*G8</f>
        <v/>
      </c>
      <c r="I8" s="4" t="n">
        <v>8.640000000000001</v>
      </c>
      <c r="J8" s="3">
        <f>H8*I8</f>
        <v/>
      </c>
    </row>
    <row r="9">
      <c r="A9" s="3" t="inlineStr">
        <is>
          <t>4</t>
        </is>
      </c>
      <c r="B9" s="3" t="inlineStr">
        <is>
          <t>ФЕР20-02-005-01</t>
        </is>
      </c>
      <c r="C9" s="3" t="inlineStr">
        <is>
          <t>Заслонки с ручным приводом до 250мм</t>
        </is>
      </c>
      <c r="D9" s="3" t="inlineStr">
        <is>
          <t>шт</t>
        </is>
      </c>
      <c r="E9" s="4" t="n">
        <v>1</v>
      </c>
      <c r="F9" s="4" t="n">
        <v>25.75</v>
      </c>
      <c r="G9" s="4" t="n">
        <v>1.15</v>
      </c>
      <c r="H9" s="3">
        <f>E9*F9*G9</f>
        <v/>
      </c>
      <c r="I9" s="4" t="n">
        <v>8.640000000000001</v>
      </c>
      <c r="J9" s="3">
        <f>H9*I9</f>
        <v/>
      </c>
    </row>
    <row r="10">
      <c r="A10" s="3" t="inlineStr">
        <is>
          <t>5</t>
        </is>
      </c>
      <c r="B10" s="3" t="inlineStr">
        <is>
          <t>ФЕР20-02-018-01</t>
        </is>
      </c>
      <c r="C10" s="3" t="inlineStr">
        <is>
          <t>Вставки гибкие к радиальным вентиляторам</t>
        </is>
      </c>
      <c r="D10" s="3" t="inlineStr">
        <is>
          <t>м²</t>
        </is>
      </c>
      <c r="E10" s="4" t="n">
        <v>1</v>
      </c>
      <c r="F10" s="4" t="n">
        <v>53.31</v>
      </c>
      <c r="G10" s="4" t="n">
        <v>1.15</v>
      </c>
      <c r="H10" s="3">
        <f>E10*F10*G10</f>
        <v/>
      </c>
      <c r="I10" s="4" t="n">
        <v>8.640000000000001</v>
      </c>
      <c r="J10" s="3">
        <f>H10*I10</f>
        <v/>
      </c>
    </row>
    <row r="11">
      <c r="A11" s="3" t="inlineStr">
        <is>
          <t>6</t>
        </is>
      </c>
      <c r="B11" s="3" t="inlineStr">
        <is>
          <t>ФЕР20-02-019-01</t>
        </is>
      </c>
      <c r="C11" s="3" t="inlineStr">
        <is>
          <t>Кронштейны под вентиляционное оборудование</t>
        </is>
      </c>
      <c r="D11" s="3" t="inlineStr">
        <is>
          <t>100кг</t>
        </is>
      </c>
      <c r="E11" s="4" t="n">
        <v>0.5</v>
      </c>
      <c r="F11" s="4" t="n">
        <v>928.0599999999999</v>
      </c>
      <c r="G11" s="4" t="n">
        <v>1.15</v>
      </c>
      <c r="H11" s="3">
        <f>E11*F11*G11</f>
        <v/>
      </c>
      <c r="I11" s="4" t="n">
        <v>8.640000000000001</v>
      </c>
      <c r="J11" s="3">
        <f>H11*I11</f>
        <v/>
      </c>
    </row>
    <row r="12">
      <c r="A12" s="3" t="inlineStr">
        <is>
          <t>7</t>
        </is>
      </c>
      <c r="B12" s="3" t="inlineStr"/>
      <c r="C12" s="3" t="inlineStr">
        <is>
          <t>Виброизоляторы номер 38</t>
        </is>
      </c>
      <c r="D12" s="3" t="inlineStr">
        <is>
          <t>шт</t>
        </is>
      </c>
      <c r="E12" s="4" t="n">
        <v>4</v>
      </c>
      <c r="F12" s="3" t="inlineStr"/>
      <c r="G12" s="4" t="n">
        <v>1.15</v>
      </c>
      <c r="H12" s="3" t="inlineStr"/>
      <c r="I12" s="4" t="n">
        <v>8.640000000000001</v>
      </c>
      <c r="J12" s="3" t="inlineStr"/>
    </row>
    <row r="13">
      <c r="A13" s="3" t="inlineStr">
        <is>
          <t>8</t>
        </is>
      </c>
      <c r="B13" s="5" t="inlineStr">
        <is>
          <t>УТОЧНИТЬ КОД</t>
        </is>
      </c>
      <c r="C13" s="5" t="inlineStr">
        <is>
          <t>Воздуховоды оцинк. сталь 0.5мм, ⌀100мм | 0.5мм, ⌀150мм | 0.5мм, ⌀200мм | 0.7мм, 200×250 | 0.7мм, 250×300 | 0.7мм, 350×350 | 0.7мм, 400×400</t>
        </is>
      </c>
      <c r="D13" s="3" t="inlineStr">
        <is>
          <t>пог.м</t>
        </is>
      </c>
      <c r="E13" s="3" t="inlineStr">
        <is>
          <t>100</t>
        </is>
      </c>
      <c r="F13" s="5" t="inlineStr">
        <is>
          <t>УТОЧНИТЬ</t>
        </is>
      </c>
      <c r="G13" s="3" t="n">
        <v>1.15</v>
      </c>
      <c r="H13" s="3" t="inlineStr"/>
      <c r="I13" s="3" t="n">
        <v>8.640000000000001</v>
      </c>
      <c r="J13" s="3" t="inlineStr"/>
    </row>
    <row r="15">
      <c r="A15" s="6" t="inlineStr">
        <is>
          <t>УДАЛЕНО по замечаниям сметчика:</t>
        </is>
      </c>
    </row>
    <row r="16">
      <c r="A16" t="inlineStr">
        <is>
          <t>• Поз.13 Дефлекторы 280мм — отсутствуют в ВОР</t>
        </is>
      </c>
    </row>
    <row r="17">
      <c r="A17" t="inlineStr">
        <is>
          <t>• Поз.14 Сплит-системы настенные до 5кВт — отсутствуют в ВОР</t>
        </is>
      </c>
    </row>
    <row r="18">
      <c r="A18" t="inlineStr">
        <is>
          <t>• Вентиляторы осевые и крышные — отсутствуют в ВОР</t>
        </is>
      </c>
    </row>
    <row r="19">
      <c r="A19" t="inlineStr">
        <is>
          <t>• Количества исправлены по ВОР (решетки 20шт, клапаны 1шт, заслонки 1шт, кронштейны 50кг)</t>
        </is>
      </c>
    </row>
    <row r="20">
      <c r="A20" t="inlineStr">
        <is>
          <t>• Виброизоляторы добавлены (4 шт) — есть в ВОР, код ФЕР требует уточнения</t>
        </is>
      </c>
    </row>
    <row r="21">
      <c r="A21" t="inlineStr">
        <is>
          <t>• Воздуховоды — требуется уточнение кода ФЕР (сметчик проверит в ГРАНДе)</t>
        </is>
      </c>
    </row>
    <row r="23">
      <c r="A23" s="7" t="inlineStr">
        <is>
          <t>ИТОГО ПРЯМЫЕ ЗАТРАТЫ</t>
        </is>
      </c>
      <c r="B23" s="3" t="n"/>
      <c r="C23" s="3" t="n"/>
      <c r="D23" s="3" t="n"/>
      <c r="E23" s="3" t="n"/>
      <c r="F23" s="3" t="n"/>
      <c r="G23" s="3" t="n"/>
      <c r="H23" s="7">
        <f>SUM(H6:H13)</f>
        <v/>
      </c>
      <c r="I23" s="3" t="n"/>
      <c r="J23" s="7">
        <f>SUM(J6:J13)</f>
        <v/>
      </c>
    </row>
    <row r="24">
      <c r="A24" s="8" t="inlineStr">
        <is>
          <t>Накладные расходы</t>
        </is>
      </c>
      <c r="B24" s="3" t="n"/>
      <c r="C24" s="3" t="n"/>
      <c r="D24" s="3" t="n"/>
      <c r="E24" s="3" t="n"/>
      <c r="F24" s="3" t="n"/>
      <c r="G24" s="3" t="n"/>
      <c r="H24" s="9">
        <f>H23*0.15</f>
        <v/>
      </c>
      <c r="I24" s="3" t="n"/>
      <c r="J24" s="9">
        <f>J23*0.15</f>
        <v/>
      </c>
    </row>
    <row r="25">
      <c r="A25" s="8" t="inlineStr">
        <is>
          <t>Сметная прибыль</t>
        </is>
      </c>
      <c r="B25" s="3" t="n"/>
      <c r="C25" s="3" t="n"/>
      <c r="D25" s="3" t="n"/>
      <c r="E25" s="3" t="n"/>
      <c r="F25" s="3" t="n"/>
      <c r="G25" s="3" t="n"/>
      <c r="H25" s="9">
        <f>H23*0.12</f>
        <v/>
      </c>
      <c r="I25" s="3" t="n"/>
      <c r="J25" s="9">
        <f>J23*0.12</f>
        <v/>
      </c>
    </row>
    <row r="26">
      <c r="A26" s="10" t="inlineStr">
        <is>
          <t>ВСЕГО ПО СМЕТЕ</t>
        </is>
      </c>
      <c r="B26" s="3" t="n"/>
      <c r="C26" s="3" t="n"/>
      <c r="D26" s="3" t="n"/>
      <c r="E26" s="3" t="n"/>
      <c r="F26" s="3" t="n"/>
      <c r="G26" s="3" t="n"/>
      <c r="H26" s="11">
        <f>H23+H24+H25</f>
        <v/>
      </c>
      <c r="I26" s="3" t="n"/>
      <c r="J26" s="11">
        <f>J23+J24+J25</f>
        <v/>
      </c>
    </row>
    <row r="28">
      <c r="A28" s="12" t="inlineStr">
        <is>
          <t>ПРИМЕЧАНИЕ:</t>
        </is>
      </c>
    </row>
    <row r="29">
      <c r="A29" t="inlineStr">
        <is>
          <t>• Накладные расходы (НР) = 15% от прямых затрат — типовое значение для СМР (ГЭСН-2020)</t>
        </is>
      </c>
    </row>
    <row r="30">
      <c r="A30" t="inlineStr">
        <is>
          <t>• Сметная прибыль (СП) = 12% от прямых затрат — типовое значение для СМР (ГЭСН-2020)</t>
        </is>
      </c>
    </row>
    <row r="31">
      <c r="A31" t="inlineStr">
        <is>
          <t>• Точные % НР и СП определяются шифром строительства в ГРАНД-Смете (сметчик проверит завтра)</t>
        </is>
      </c>
    </row>
    <row r="32">
      <c r="A32" t="inlineStr">
        <is>
          <t>• Воздуховоды: в ВОР указаны 7 типов, в смете нужно уточнить коды ФЕР для каждого сечения</t>
        </is>
      </c>
    </row>
    <row r="33">
      <c r="A33" t="inlineStr">
        <is>
          <t>• Виброизоляторы: в ВОР 4 шт, код ФЕР требует уточнения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2026-06-27T19:18:24Z</dcterms:created>
  <dcterms:modified xmlns:dcterms="http://purl.org/dc/terms/" xmlns:xsi="http://www.w3.org/2001/XMLSchema-instance" xsi:type="dcterms:W3CDTF">2026-06-27T19:18:24Z</dcterms:modified>
</cp:coreProperties>
</file>