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СР БИМ (Методика 2)" sheetId="1" state="visible" r:id="rId1"/>
    <sheet xmlns:r="http://schemas.openxmlformats.org/officeDocument/2006/relationships" name="Поясне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  <color rgb="00C00000"/>
    </font>
    <font>
      <b val="1"/>
      <color rgb="00FFFFFF"/>
      <sz val="9"/>
    </font>
    <font>
      <i val="1"/>
      <sz val="8"/>
    </font>
    <font>
      <b val="1"/>
    </font>
    <font>
      <b val="1"/>
      <sz val="10"/>
    </font>
    <font>
      <b val="1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9E1F2"/>
        <bgColor rgb="00D9E1F2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2" fontId="0" fillId="0" borderId="0" pivotButton="0" quotePrefix="0" xfId="0"/>
    <xf numFmtId="0" fontId="5" fillId="0" borderId="0" pivotButton="0" quotePrefix="0" xfId="0"/>
    <xf numFmtId="2" fontId="2" fillId="0" borderId="0" pivotButton="0" quotePrefix="0" xfId="0"/>
    <xf numFmtId="0" fontId="6" fillId="0" borderId="0" pivotButton="0" quotePrefix="0" xfId="0"/>
    <xf numFmtId="2" fontId="0" fillId="3" borderId="0" pivotButton="0" quotePrefix="0" xfId="0"/>
    <xf numFmtId="0" fontId="7" fillId="3" borderId="0" pivotButton="0" quotePrefix="0" xfId="0"/>
    <xf numFmtId="0" fontId="8" fillId="4" borderId="0" pivotButton="0" quotePrefix="0" xfId="0"/>
    <xf numFmtId="2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10" customWidth="1" min="4" max="4"/>
    <col width="10" customWidth="1" min="5" max="5"/>
    <col width="10" customWidth="1" min="6" max="6"/>
    <col width="12" customWidth="1" min="7" max="7"/>
    <col width="14" customWidth="1" min="8" max="8"/>
    <col width="12" customWidth="1" min="9" max="9"/>
    <col width="14" customWidth="1" min="10" max="10"/>
  </cols>
  <sheetData>
    <row r="1">
      <c r="A1" s="1" t="inlineStr">
        <is>
          <t>ЛОКАЛЬНЫЙ СМЕТНЫЙ РАСЧЕТ (СМЕТА) №</t>
        </is>
      </c>
    </row>
    <row r="2">
      <c r="A2" t="inlineStr">
        <is>
          <t>Наименование программного продукта:</t>
        </is>
      </c>
      <c r="B2" t="inlineStr">
        <is>
          <t>ГРАНД-Смета, версия 2026.1</t>
        </is>
      </c>
    </row>
    <row r="3">
      <c r="A3" t="inlineStr">
        <is>
          <t>Наименование редакции сметных нормативов:</t>
        </is>
      </c>
      <c r="B3" t="inlineStr">
        <is>
          <t>Приказ Минстроя России от 26.12.2019 № 876/пр; от 04.08.2020 № 421/пр; от 21.12.2020 № 812/пр; от 11.12.2020 № 774/пр</t>
        </is>
      </c>
    </row>
    <row r="4">
      <c r="A4" t="inlineStr">
        <is>
          <t>Реквизиты письма Минстроя об индексах:</t>
        </is>
      </c>
      <c r="B4" s="2" t="inlineStr">
        <is>
          <t>[УКАЗАТЬ ПИСЬМО ДЛЯ РЕГИОНА И КВАРТАЛА]</t>
        </is>
      </c>
    </row>
    <row r="5">
      <c r="A5" t="inlineStr">
        <is>
          <t>Реквизиты НПА об оплате труда:</t>
        </is>
      </c>
      <c r="B5" s="2" t="inlineStr">
        <is>
          <t>[УКАЗАТЬ ПРИКАЗ/РЕГИОНАЛЬНЫЙ ДОКУМЕНТ]</t>
        </is>
      </c>
    </row>
    <row r="6">
      <c r="A6" t="inlineStr">
        <is>
          <t>Субъект РФ:</t>
        </is>
      </c>
      <c r="B6" t="inlineStr">
        <is>
          <t>38. Иркутская область</t>
        </is>
      </c>
    </row>
    <row r="7">
      <c r="A7" t="inlineStr">
        <is>
          <t>Зона:</t>
        </is>
      </c>
      <c r="B7" t="inlineStr">
        <is>
          <t>1</t>
        </is>
      </c>
    </row>
    <row r="8">
      <c r="A8" t="inlineStr">
        <is>
          <t>Объект:</t>
        </is>
      </c>
      <c r="B8" s="2" t="inlineStr">
        <is>
          <t>[НАИМЕНОВАНИЕ ОБЪЕКТА]</t>
        </is>
      </c>
    </row>
    <row r="10">
      <c r="A10" s="3" t="inlineStr">
        <is>
          <t>1</t>
        </is>
      </c>
      <c r="B10" s="3" t="inlineStr">
        <is>
          <t>2</t>
        </is>
      </c>
      <c r="C10" s="3" t="inlineStr">
        <is>
          <t>3</t>
        </is>
      </c>
      <c r="D10" s="3" t="inlineStr">
        <is>
          <t>4</t>
        </is>
      </c>
      <c r="E10" s="3" t="inlineStr">
        <is>
          <t>5</t>
        </is>
      </c>
      <c r="F10" s="3" t="inlineStr">
        <is>
          <t>6</t>
        </is>
      </c>
      <c r="G10" s="3" t="inlineStr">
        <is>
          <t>7</t>
        </is>
      </c>
      <c r="H10" s="3" t="inlineStr">
        <is>
          <t>8</t>
        </is>
      </c>
      <c r="I10" s="3" t="inlineStr">
        <is>
          <t>9</t>
        </is>
      </c>
      <c r="J10" s="3" t="inlineStr">
        <is>
          <t>10</t>
        </is>
      </c>
    </row>
    <row r="12">
      <c r="A12" t="inlineStr">
        <is>
          <t>1</t>
        </is>
      </c>
      <c r="B12" t="inlineStr">
        <is>
          <t>ФЕР20-03-001-03</t>
        </is>
      </c>
      <c r="C12" t="inlineStr">
        <is>
          <t>Установка вентиляторов радиальных массой: свыше 0,12 до 0,2 т</t>
        </is>
      </c>
      <c r="D12" t="inlineStr">
        <is>
          <t>шт</t>
        </is>
      </c>
      <c r="E12" t="n">
        <v>1</v>
      </c>
      <c r="F12" t="n">
        <v>1</v>
      </c>
      <c r="G12">
        <f>E12*F12</f>
        <v/>
      </c>
    </row>
    <row r="13">
      <c r="B13" t="inlineStr">
        <is>
          <t>421/пр_2020_п.58_пп.б</t>
        </is>
      </c>
      <c r="C13" s="4" t="inlineStr">
        <is>
          <t>Для работ аналогичных новому строительству: ОЗП=1.15; ЭМ=1.25; ЗПМ=1.25; ТЗ=1.15; ТЗМ=1.25</t>
        </is>
      </c>
    </row>
    <row r="14">
      <c r="B14" t="inlineStr">
        <is>
          <t>421/пр_2020_прил.10_т.5_п.1.2_гр.3</t>
        </is>
      </c>
      <c r="C14" s="4" t="inlineStr">
        <is>
          <t>Ремонт в действующем здании: ОЗП=1.35; ЭМ=1.35; ЗПМ=1.35; ТЗ=1.35; ТЗМ=1.35</t>
        </is>
      </c>
    </row>
    <row r="15">
      <c r="B15" t="inlineStr">
        <is>
          <t>1</t>
        </is>
      </c>
      <c r="C15" t="inlineStr">
        <is>
          <t>ОТ (Оплата труда)</t>
        </is>
      </c>
      <c r="H15" s="5" t="n">
        <v>79.84</v>
      </c>
      <c r="I15" s="2" t="inlineStr">
        <is>
          <t>[INDEX_ZP]</t>
        </is>
      </c>
      <c r="J15" s="5">
        <f>H15*I15</f>
        <v/>
      </c>
    </row>
    <row r="16">
      <c r="B16" t="inlineStr">
        <is>
          <t>2</t>
        </is>
      </c>
      <c r="C16" t="inlineStr">
        <is>
          <t>ЭМ (Эксплуатация машин)</t>
        </is>
      </c>
      <c r="H16" s="5" t="n">
        <v>21.95</v>
      </c>
      <c r="I16" s="2" t="inlineStr">
        <is>
          <t>[INDEX_MACH]</t>
        </is>
      </c>
      <c r="J16" s="5">
        <f>H16*I16</f>
        <v/>
      </c>
    </row>
    <row r="17">
      <c r="B17" t="inlineStr">
        <is>
          <t>3</t>
        </is>
      </c>
      <c r="C17" t="inlineStr">
        <is>
          <t>в т.ч. ОТм (оплата труда машинистов)</t>
        </is>
      </c>
      <c r="H17" s="5" t="n">
        <v>2.11</v>
      </c>
      <c r="I17" s="2" t="inlineStr">
        <is>
          <t>[INDEX_ZP]</t>
        </is>
      </c>
      <c r="J17" s="5">
        <f>H17*I17</f>
        <v/>
      </c>
    </row>
    <row r="18">
      <c r="B18" t="inlineStr">
        <is>
          <t>4</t>
        </is>
      </c>
      <c r="C18" t="inlineStr">
        <is>
          <t>М (Материалы)</t>
        </is>
      </c>
      <c r="H18" s="5" t="n">
        <v>21.14</v>
      </c>
      <c r="I18" s="2" t="inlineStr">
        <is>
          <t>[INDEX_MAT]</t>
        </is>
      </c>
      <c r="J18" s="5">
        <f>H18*I18</f>
        <v/>
      </c>
    </row>
    <row r="19">
      <c r="C19" t="inlineStr">
        <is>
          <t>ЗТ (Затраты труда рабочих)</t>
        </is>
      </c>
      <c r="D19" t="inlineStr">
        <is>
          <t>чел.-ч</t>
        </is>
      </c>
      <c r="E19" s="5" t="n">
        <v>9.359999999999999</v>
      </c>
      <c r="F19" t="n">
        <v>1.55</v>
      </c>
      <c r="G19" s="5">
        <f>E19*F19</f>
        <v/>
      </c>
    </row>
    <row r="20">
      <c r="C20" t="inlineStr">
        <is>
          <t>ЗТм (Затраты труда машинистов)</t>
        </is>
      </c>
      <c r="D20" t="inlineStr">
        <is>
          <t>чел.-ч</t>
        </is>
      </c>
      <c r="E20" s="5" t="n">
        <v>0.17</v>
      </c>
      <c r="F20" t="n">
        <v>1.69</v>
      </c>
      <c r="G20" s="5">
        <f>E20*F20</f>
        <v/>
      </c>
    </row>
    <row r="21">
      <c r="C21" s="6" t="inlineStr">
        <is>
          <t>Итого по расценке</t>
        </is>
      </c>
      <c r="H21" s="5">
        <f>SUM(H15:H18)</f>
        <v/>
      </c>
      <c r="J21" s="5">
        <f>SUM(J15:J18)</f>
        <v/>
      </c>
    </row>
    <row r="22">
      <c r="C22" s="6" t="inlineStr">
        <is>
          <t>ФОТ (Фонд оплаты труда)</t>
        </is>
      </c>
      <c r="H22" s="5">
        <f>H21</f>
        <v/>
      </c>
      <c r="J22" s="7">
        <f>H22*[INDEX_ZP]</f>
        <v/>
      </c>
    </row>
    <row r="23">
      <c r="B23" t="inlineStr">
        <is>
          <t>Пр/812-xxx</t>
        </is>
      </c>
      <c r="C23" t="inlineStr">
        <is>
          <t>НР [шифр работ]</t>
        </is>
      </c>
      <c r="D23" t="inlineStr">
        <is>
          <t>%</t>
        </is>
      </c>
      <c r="E23" s="2" t="inlineStr">
        <is>
          <t>[НР%]</t>
        </is>
      </c>
      <c r="H23" s="5">
        <f>H22*E23/100</f>
        <v/>
      </c>
      <c r="J23" s="7">
        <f>H23*[INDEX_ZP]</f>
        <v/>
      </c>
    </row>
    <row r="24">
      <c r="B24" t="inlineStr">
        <is>
          <t>Пр/774-xxx</t>
        </is>
      </c>
      <c r="C24" t="inlineStr">
        <is>
          <t>СП [шифр работ]</t>
        </is>
      </c>
      <c r="D24" t="inlineStr">
        <is>
          <t>%</t>
        </is>
      </c>
      <c r="E24" s="2" t="inlineStr">
        <is>
          <t>[СП%]</t>
        </is>
      </c>
      <c r="H24" s="5">
        <f>H22*E24/100</f>
        <v/>
      </c>
      <c r="J24" s="7">
        <f>H24*[INDEX_ZP]</f>
        <v/>
      </c>
    </row>
    <row r="25">
      <c r="C25" s="8" t="inlineStr">
        <is>
          <t>Всего по позиции</t>
        </is>
      </c>
      <c r="H25" s="9">
        <f>H22+H23+H24</f>
        <v/>
      </c>
      <c r="J25" s="9">
        <f>J22+J23+J24</f>
        <v/>
      </c>
    </row>
    <row r="27">
      <c r="C27" s="10" t="inlineStr">
        <is>
          <t>ИТОГО ПРЯМЫЕ ЗАТРАТЫ</t>
        </is>
      </c>
      <c r="H27" s="9" t="inlineStr">
        <is>
          <t>[СУММА ПРЯМЫХ]</t>
        </is>
      </c>
      <c r="J27" s="9" t="inlineStr">
        <is>
          <t>[СУММА В ТЕКУЩИХ]</t>
        </is>
      </c>
    </row>
    <row r="28">
      <c r="C28" t="inlineStr">
        <is>
          <t>ИТОГО НР</t>
        </is>
      </c>
      <c r="H28" s="5" t="inlineStr">
        <is>
          <t>[СУММА НР]</t>
        </is>
      </c>
      <c r="J28" s="5" t="inlineStr">
        <is>
          <t>[СУММА НР ТЕКУЩИХ]</t>
        </is>
      </c>
    </row>
    <row r="29">
      <c r="C29" t="inlineStr">
        <is>
          <t>ИТОГО СП</t>
        </is>
      </c>
      <c r="H29" s="5" t="inlineStr">
        <is>
          <t>[СУММА СП]</t>
        </is>
      </c>
      <c r="J29" s="5" t="inlineStr">
        <is>
          <t>[СУММА СП ТЕКУЩИХ]</t>
        </is>
      </c>
    </row>
    <row r="30">
      <c r="C30" s="11" t="inlineStr">
        <is>
          <t>ВСЕГО ПО СМЕТЕ</t>
        </is>
      </c>
      <c r="H30" s="12">
        <f>H27+H28+H29</f>
        <v/>
      </c>
      <c r="J30" s="12">
        <f>J27+J28+J29</f>
        <v/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50" customWidth="1" min="1" max="1"/>
    <col width="80" customWidth="1" min="2" max="2"/>
  </cols>
  <sheetData>
    <row r="1">
      <c r="A1" s="1" t="inlineStr">
        <is>
          <t>ПОЯСНЕНИЯ К ШАБЛОНУ БИМ</t>
        </is>
      </c>
    </row>
    <row r="2">
      <c r="A2" t="inlineStr"/>
      <c r="B2" t="inlineStr"/>
    </row>
    <row r="3">
      <c r="A3" t="inlineStr">
        <is>
          <t>БИМ (Базисно-Индексный Метод)</t>
        </is>
      </c>
      <c r="B3" t="inlineStr"/>
    </row>
    <row r="4">
      <c r="A4" t="inlineStr">
        <is>
          <t>Базисные цены: 01.01.2000 (руб. 2000 г.)</t>
        </is>
      </c>
      <c r="B4" t="inlineStr"/>
    </row>
    <row r="5">
      <c r="A5" t="inlineStr"/>
      <c r="B5" t="inlineStr"/>
    </row>
    <row r="6">
      <c r="A6" s="6" t="inlineStr">
        <is>
          <t>ПОПРАВКИ (две применяются последовательно):</t>
        </is>
      </c>
      <c r="B6" t="inlineStr"/>
    </row>
    <row r="7">
      <c r="A7" t="inlineStr">
        <is>
          <t>1. П.58 пр.б Приказа 421/пр</t>
        </is>
      </c>
      <c r="B7" t="inlineStr">
        <is>
          <t>Для работ аналогичных новому строительству: ОЗП=1.15; ЭМ=1.25; ЗПМ=1.25; ТЗ=1.15; ТЗМ=1.25</t>
        </is>
      </c>
    </row>
    <row r="8">
      <c r="A8" t="inlineStr">
        <is>
          <t>2. Прил.10 т.5 п.1.2 гр.3 Приказа 421/пр</t>
        </is>
      </c>
      <c r="B8" t="inlineStr">
        <is>
          <t>Ремонт в действующем здании: ОЗП=1.35; ЭМ=1.35; ЗПМ=1.35; ТЗ=1.35; ТЗМ=1.35</t>
        </is>
      </c>
    </row>
    <row r="9">
      <c r="A9" t="inlineStr"/>
      <c r="B9" t="inlineStr"/>
    </row>
    <row r="10">
      <c r="A10" s="6" t="inlineStr">
        <is>
          <t>ИТОГОВЫЕ КОЭФФИЦИЕНТЫ:</t>
        </is>
      </c>
      <c r="B10" t="inlineStr"/>
    </row>
    <row r="11">
      <c r="A11" t="inlineStr">
        <is>
          <t>ОТ (оплата труда)</t>
        </is>
      </c>
      <c r="B11" t="inlineStr">
        <is>
          <t>1.15 × 1.35 = 1.5525 ≈ 1.55</t>
        </is>
      </c>
    </row>
    <row r="12">
      <c r="A12" t="inlineStr">
        <is>
          <t>ЭМ (эксплуатация машин)</t>
        </is>
      </c>
      <c r="B12" t="inlineStr">
        <is>
          <t>1.25 × 1.35 = 1.6875 ≈ 1.69</t>
        </is>
      </c>
    </row>
    <row r="13">
      <c r="A13" t="inlineStr">
        <is>
          <t>М (материалы)</t>
        </is>
      </c>
      <c r="B13" t="inlineStr">
        <is>
          <t>1.0 × 1.0 = 1.0 (или по индексу материалов)</t>
        </is>
      </c>
    </row>
    <row r="14">
      <c r="A14" t="inlineStr"/>
      <c r="B14" t="inlineStr"/>
    </row>
    <row r="15">
      <c r="A15" s="6" t="inlineStr">
        <is>
          <t>ИНДЕКСЫ (по статьям, из письма Минстроя):</t>
        </is>
      </c>
      <c r="B15" t="inlineStr"/>
    </row>
    <row r="16">
      <c r="A16" t="inlineStr">
        <is>
          <t>INDEX_ZP (ОТ)</t>
        </is>
      </c>
      <c r="B16" t="inlineStr">
        <is>
          <t>Индекс оплаты труда (обычно самый высокий)</t>
        </is>
      </c>
    </row>
    <row r="17">
      <c r="A17" t="inlineStr">
        <is>
          <t>INDEX_MACH (ЭМ)</t>
        </is>
      </c>
      <c r="B17" t="inlineStr">
        <is>
          <t>Индекс эксплуатации машин</t>
        </is>
      </c>
    </row>
    <row r="18">
      <c r="A18" t="inlineStr">
        <is>
          <t>INDEX_MAT (М)</t>
        </is>
      </c>
      <c r="B18" t="inlineStr">
        <is>
          <t>Индекс материалов</t>
        </is>
      </c>
    </row>
    <row r="19">
      <c r="A19" t="inlineStr"/>
      <c r="B19" t="inlineStr"/>
    </row>
    <row r="20">
      <c r="A20" s="6" t="inlineStr">
        <is>
          <t>НР и СП:</t>
        </is>
      </c>
      <c r="B20" t="inlineStr"/>
    </row>
    <row r="21">
      <c r="A21" t="inlineStr">
        <is>
          <t>НР считается от ФОТ (фонда оплаты труда) с коэффициентом по шифру работ</t>
        </is>
      </c>
      <c r="B21" t="inlineStr"/>
    </row>
    <row r="22">
      <c r="A22" t="inlineStr">
        <is>
          <t>СП считается от ФОТ с коэффициентом по шифру работ</t>
        </is>
      </c>
      <c r="B22" t="inlineStr"/>
    </row>
    <row r="23">
      <c r="A23" t="inlineStr">
        <is>
          <t>Шифр для сантехнических работ (вентиляция): Пр/812-016.0-1 (НР=121%), Пр/774-016.0 (СП=72%)</t>
        </is>
      </c>
      <c r="B23" t="inlineStr"/>
    </row>
    <row r="24">
      <c r="A24" t="inlineStr"/>
      <c r="B24" t="inlineStr"/>
    </row>
    <row r="25">
      <c r="A25" t="inlineStr">
        <is>
          <t>ФОТ = ОТ × К1.58 + ОТм × К1.58 + ... (все статьи оплаты труда)</t>
        </is>
      </c>
      <c r="B25" t="inlineStr"/>
    </row>
    <row r="26">
      <c r="A26" t="inlineStr"/>
      <c r="B26" t="inlineStr"/>
    </row>
    <row r="27">
      <c r="A27" s="6" t="inlineStr">
        <is>
          <t>МАТЕРИАЛЫ (ФССЦ):</t>
        </is>
      </c>
      <c r="B27" t="inlineStr"/>
    </row>
    <row r="28">
      <c r="A28" t="inlineStr">
        <is>
          <t>Материалы добавляются ОТДЕЛЬНЫМИ позициями после работы</t>
        </is>
      </c>
      <c r="B28" t="inlineStr"/>
    </row>
    <row r="29">
      <c r="A29" t="inlineStr">
        <is>
          <t>Код ФССЦ: 19.x.x.x-xxxx</t>
        </is>
      </c>
      <c r="B29" t="inlineStr"/>
    </row>
    <row r="30">
      <c r="A30" t="inlineStr">
        <is>
          <t>Цена из ФССЦ умножается на индекс материалов</t>
        </is>
      </c>
      <c r="B30" t="inlineStr"/>
    </row>
    <row r="31">
      <c r="A31" t="inlineStr"/>
      <c r="B31" t="inlineStr"/>
    </row>
    <row r="32">
      <c r="A32" s="6" t="inlineStr">
        <is>
          <t>ПОРЯДОК РАБОТЫ:</t>
        </is>
      </c>
      <c r="B32" t="inlineStr"/>
    </row>
    <row r="33">
      <c r="A33" t="inlineStr">
        <is>
          <t>1. Получить ВОР/ведомость дефектов</t>
        </is>
      </c>
      <c r="B33" t="inlineStr"/>
    </row>
    <row r="34">
      <c r="A34" t="inlineStr">
        <is>
          <t>2. Подобрать код ФЕР в ГРАНД-Смете или PDF сборнике</t>
        </is>
      </c>
      <c r="B34" t="inlineStr"/>
    </row>
    <row r="35">
      <c r="A35" t="inlineStr">
        <is>
          <t>3. Заполнить статьи затрат (ОТ, ЭМ, М, ЗТ, ЗТм)</t>
        </is>
      </c>
      <c r="B35" t="inlineStr"/>
    </row>
    <row r="36">
      <c r="A36" t="inlineStr">
        <is>
          <t>4. Применить поправки (п.58 + Прил.10)</t>
        </is>
      </c>
      <c r="B36" t="inlineStr"/>
    </row>
    <row r="37">
      <c r="A37" t="inlineStr">
        <is>
          <t>5. Добавить ФССЦ на материалы</t>
        </is>
      </c>
      <c r="B37" t="inlineStr"/>
    </row>
    <row r="38">
      <c r="A38" t="inlineStr">
        <is>
          <t>6. Рассчитать НР/СП от ФОТ по шифру</t>
        </is>
      </c>
      <c r="B38" t="inlineStr"/>
    </row>
    <row r="39">
      <c r="A39" t="inlineStr">
        <is>
          <t>7. Применить индексы по статьям</t>
        </is>
      </c>
      <c r="B39" t="inlineStr"/>
    </row>
    <row r="40">
      <c r="A40" t="inlineStr">
        <is>
          <t>8. Проверить eval_smeta.py</t>
        </is>
      </c>
      <c r="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2026-06-27T20:20:16Z</dcterms:created>
  <dcterms:modified xmlns:dcterms="http://purl.org/dc/terms/" xmlns:xsi="http://www.w3.org/2001/XMLSchema-instance" xsi:type="dcterms:W3CDTF">2026-06-27T20:20:16Z</dcterms:modified>
</cp:coreProperties>
</file>