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БИ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9"/>
    </font>
    <font>
      <b val="1"/>
      <color rgb="001F4E78"/>
      <sz val="10"/>
    </font>
    <font>
      <b val="1"/>
    </font>
    <font>
      <b val="1"/>
      <sz val="12"/>
    </font>
    <font>
      <i val="1"/>
      <color rgb="00C0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3" borderId="0" pivotButton="0" quotePrefix="0" xfId="0"/>
    <xf numFmtId="0" fontId="0" fillId="0" borderId="1" pivotButton="0" quotePrefix="0" xfId="0"/>
    <xf numFmtId="4" fontId="0" fillId="0" borderId="1" pivotButton="0" quotePrefix="0" xfId="0"/>
    <xf numFmtId="0" fontId="4" fillId="4" borderId="0" pivotButton="0" quotePrefix="0" xfId="0"/>
    <xf numFmtId="4" fontId="4" fillId="4" borderId="1" pivotButton="0" quotePrefix="0" xfId="0"/>
    <xf numFmtId="4" fontId="0" fillId="0" borderId="0" pivotButton="0" quotePrefix="0" xfId="0"/>
    <xf numFmtId="0" fontId="5" fillId="5" borderId="0" pivotButton="0" quotePrefix="0" xfId="0"/>
    <xf numFmtId="4" fontId="5" fillId="5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5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ЛОКАЛЬНАЯ СМЕТА (БИМ-методика, ФЕР-2020)</t>
        </is>
      </c>
    </row>
    <row r="2">
      <c r="A2" s="2" t="inlineStr">
        <is>
          <t>Корпус Электролиза "Б". Плиты на отм. 0,000 (марка 449.02623.120201.1.6-КЖ6)</t>
        </is>
      </c>
    </row>
    <row r="3">
      <c r="A3" s="2" t="inlineStr">
        <is>
          <t>Основание: ВОР №2 от ООО «ОК РУСАЛ ПРОМТЕХРАЗВИТИЕ»</t>
        </is>
      </c>
    </row>
    <row r="5">
      <c r="A5" s="3" t="inlineStr">
        <is>
          <t>№</t>
        </is>
      </c>
      <c r="B5" s="3" t="inlineStr">
        <is>
          <t>Код ФЕР/ГЭСН</t>
        </is>
      </c>
      <c r="C5" s="3" t="inlineStr">
        <is>
          <t>Наименование работ и затрат</t>
        </is>
      </c>
      <c r="D5" s="3" t="inlineStr">
        <is>
          <t>Ед.изм.</t>
        </is>
      </c>
      <c r="E5" s="3" t="inlineStr">
        <is>
          <t>Кол-во</t>
        </is>
      </c>
      <c r="F5" s="3" t="inlineStr">
        <is>
          <t>ОТ (руб.2000)</t>
        </is>
      </c>
      <c r="G5" s="3" t="inlineStr">
        <is>
          <t>ЭМ (руб.2000)</t>
        </is>
      </c>
      <c r="H5" s="3" t="inlineStr">
        <is>
          <t>М (руб.2000)</t>
        </is>
      </c>
      <c r="I5" s="3" t="inlineStr">
        <is>
          <t>INDEX_ZP</t>
        </is>
      </c>
      <c r="J5" s="3" t="inlineStr">
        <is>
          <t>INDEX_MACH</t>
        </is>
      </c>
      <c r="K5" s="3" t="inlineStr">
        <is>
          <t>INDEX_MAT</t>
        </is>
      </c>
      <c r="L5" s="3" t="inlineStr">
        <is>
          <t>Текущая ОТ</t>
        </is>
      </c>
      <c r="M5" s="3" t="inlineStr">
        <is>
          <t>Текущая ЭМ</t>
        </is>
      </c>
      <c r="N5" s="3" t="inlineStr">
        <is>
          <t>Текущая М</t>
        </is>
      </c>
      <c r="O5" s="3" t="inlineStr">
        <is>
          <t>Всего текущ.</t>
        </is>
      </c>
    </row>
    <row r="6">
      <c r="A6" s="4" t="inlineStr">
        <is>
          <t>Раздел 1. Устройство монолитных плит пола на отм. 0,000</t>
        </is>
      </c>
    </row>
    <row r="7">
      <c r="A7" s="5" t="n">
        <v>1</v>
      </c>
      <c r="B7" s="5" t="inlineStr">
        <is>
          <t>УТОЧНИТЬ</t>
        </is>
      </c>
      <c r="C7" s="5" t="inlineStr">
        <is>
          <t>Укладка полиэтиленовой плёнки 200 мкм</t>
        </is>
      </c>
      <c r="D7" s="5" t="inlineStr">
        <is>
          <t>100 м²</t>
        </is>
      </c>
      <c r="E7" s="5" t="n">
        <v>11.98786</v>
      </c>
      <c r="F7" s="5" t="n">
        <v>85</v>
      </c>
      <c r="G7" s="5" t="n">
        <v>0</v>
      </c>
      <c r="H7" s="5" t="n">
        <v>15</v>
      </c>
      <c r="I7" s="5" t="n">
        <v>65</v>
      </c>
      <c r="J7" s="5" t="n">
        <v>18</v>
      </c>
      <c r="K7" s="5" t="n">
        <v>10</v>
      </c>
      <c r="L7" s="6" t="n">
        <v>102661.04</v>
      </c>
      <c r="M7" s="6" t="n">
        <v>0</v>
      </c>
      <c r="N7" s="6" t="n">
        <v>2247.72</v>
      </c>
      <c r="O7" s="6" t="n">
        <v>104908.76</v>
      </c>
    </row>
    <row r="8">
      <c r="A8" s="5" t="n">
        <v>2</v>
      </c>
      <c r="B8" s="5" t="inlineStr">
        <is>
          <t>УТОЧНИТЬ</t>
        </is>
      </c>
      <c r="C8" s="5" t="inlineStr">
        <is>
          <t>Плёнка полиэтиленовая 200 мкм (ФССЦ)</t>
        </is>
      </c>
      <c r="D8" s="5" t="inlineStr">
        <is>
          <t>м²</t>
        </is>
      </c>
      <c r="E8" s="5" t="n">
        <v>1198.786</v>
      </c>
      <c r="F8" s="5" t="n">
        <v>0</v>
      </c>
      <c r="G8" s="5" t="n">
        <v>0</v>
      </c>
      <c r="H8" s="5" t="n">
        <v>1.5</v>
      </c>
      <c r="I8" s="5" t="n">
        <v>1</v>
      </c>
      <c r="J8" s="5" t="n">
        <v>1</v>
      </c>
      <c r="K8" s="5" t="n">
        <v>10</v>
      </c>
      <c r="L8" s="6" t="n">
        <v>0</v>
      </c>
      <c r="M8" s="6" t="n">
        <v>0</v>
      </c>
      <c r="N8" s="6" t="n">
        <v>22477.24</v>
      </c>
      <c r="O8" s="6" t="n">
        <v>22477.24</v>
      </c>
    </row>
    <row r="9">
      <c r="A9" s="5" t="n">
        <v>3</v>
      </c>
      <c r="B9" s="5" t="inlineStr">
        <is>
          <t>ГЭСН06-01-001-01</t>
        </is>
      </c>
      <c r="C9" s="5" t="inlineStr">
        <is>
          <t>Устройство бетонной плиты П1 (h=200мм)</t>
        </is>
      </c>
      <c r="D9" s="5" t="inlineStr">
        <is>
          <t>100 м³</t>
        </is>
      </c>
      <c r="E9" s="5" t="n">
        <v>1.76562</v>
      </c>
      <c r="F9" s="5" t="n">
        <v>3500</v>
      </c>
      <c r="G9" s="5" t="n">
        <v>1800</v>
      </c>
      <c r="H9" s="5" t="n">
        <v>1200</v>
      </c>
      <c r="I9" s="5" t="n">
        <v>65</v>
      </c>
      <c r="J9" s="5" t="n">
        <v>18</v>
      </c>
      <c r="K9" s="5" t="n">
        <v>10</v>
      </c>
      <c r="L9" s="6" t="n">
        <v>622601.75</v>
      </c>
      <c r="M9" s="6" t="n">
        <v>96678.28999999999</v>
      </c>
      <c r="N9" s="6" t="n">
        <v>26484.3</v>
      </c>
      <c r="O9" s="6" t="n">
        <v>745764.34</v>
      </c>
    </row>
    <row r="10">
      <c r="A10" s="5" t="n">
        <v>4</v>
      </c>
      <c r="B10" s="5" t="inlineStr">
        <is>
          <t>УТОЧНИТЬ</t>
        </is>
      </c>
      <c r="C10" s="5" t="inlineStr">
        <is>
          <t>Бетон В25 W6 F150 (ФССЦ/ПСЦ)</t>
        </is>
      </c>
      <c r="D10" s="5" t="inlineStr">
        <is>
          <t>м³</t>
        </is>
      </c>
      <c r="E10" s="5" t="n">
        <v>176.562</v>
      </c>
      <c r="F10" s="5" t="n">
        <v>0</v>
      </c>
      <c r="G10" s="5" t="n">
        <v>0</v>
      </c>
      <c r="H10" s="5" t="n">
        <v>6440</v>
      </c>
      <c r="I10" s="5" t="n">
        <v>1</v>
      </c>
      <c r="J10" s="5" t="n">
        <v>1</v>
      </c>
      <c r="K10" s="5" t="n">
        <v>10</v>
      </c>
      <c r="L10" s="6" t="n">
        <v>0</v>
      </c>
      <c r="M10" s="6" t="n">
        <v>0</v>
      </c>
      <c r="N10" s="6" t="n">
        <v>14213241</v>
      </c>
      <c r="O10" s="6" t="n">
        <v>14213241</v>
      </c>
    </row>
    <row r="11">
      <c r="A11" s="5" t="n">
        <v>5</v>
      </c>
      <c r="B11" s="5" t="inlineStr">
        <is>
          <t>ГЭСН26-01-041-05</t>
        </is>
      </c>
      <c r="C11" s="5" t="inlineStr">
        <is>
          <t>Устройство деформационных швов (П1)</t>
        </is>
      </c>
      <c r="D11" s="5" t="inlineStr">
        <is>
          <t>м п.</t>
        </is>
      </c>
      <c r="E11" s="5" t="n">
        <v>3684.8</v>
      </c>
      <c r="F11" s="5" t="n">
        <v>45</v>
      </c>
      <c r="G11" s="5" t="n">
        <v>12</v>
      </c>
      <c r="H11" s="5" t="n">
        <v>8</v>
      </c>
      <c r="I11" s="5" t="n">
        <v>65</v>
      </c>
      <c r="J11" s="5" t="n">
        <v>18</v>
      </c>
      <c r="K11" s="5" t="n">
        <v>10</v>
      </c>
      <c r="L11" s="6" t="n">
        <v>16705962</v>
      </c>
      <c r="M11" s="6" t="n">
        <v>1345099.39</v>
      </c>
      <c r="N11" s="6" t="n">
        <v>368480</v>
      </c>
      <c r="O11" s="6" t="n">
        <v>18419541.39</v>
      </c>
    </row>
    <row r="12">
      <c r="A12" s="5" t="n">
        <v>6</v>
      </c>
      <c r="B12" s="5" t="inlineStr">
        <is>
          <t>УТОЧНИТЬ</t>
        </is>
      </c>
      <c r="C12" s="5" t="inlineStr">
        <is>
          <t>Пенополистирол ППС15 (деф.шов, ФССЦ)</t>
        </is>
      </c>
      <c r="D12" s="5" t="inlineStr">
        <is>
          <t>м³</t>
        </is>
      </c>
      <c r="E12" s="5" t="n">
        <v>11.322</v>
      </c>
      <c r="F12" s="5" t="n">
        <v>0</v>
      </c>
      <c r="G12" s="5" t="n">
        <v>0</v>
      </c>
      <c r="H12" s="5" t="n">
        <v>7437.5</v>
      </c>
      <c r="I12" s="5" t="n">
        <v>1</v>
      </c>
      <c r="J12" s="5" t="n">
        <v>1</v>
      </c>
      <c r="K12" s="5" t="n">
        <v>10</v>
      </c>
      <c r="L12" s="6" t="n">
        <v>0</v>
      </c>
      <c r="M12" s="6" t="n">
        <v>0</v>
      </c>
      <c r="N12" s="6" t="n">
        <v>1052592.19</v>
      </c>
      <c r="O12" s="6" t="n">
        <v>1052592.19</v>
      </c>
    </row>
    <row r="13">
      <c r="A13" s="5" t="n">
        <v>7</v>
      </c>
      <c r="B13" s="5" t="inlineStr">
        <is>
          <t>УТОЧНИТЬ</t>
        </is>
      </c>
      <c r="C13" s="5" t="inlineStr">
        <is>
          <t>Полиуретановый герметик (ФССЦ)</t>
        </is>
      </c>
      <c r="D13" s="5" t="inlineStr">
        <is>
          <t>кг</t>
        </is>
      </c>
      <c r="E13" s="5" t="n">
        <v>2738</v>
      </c>
      <c r="F13" s="5" t="n">
        <v>0</v>
      </c>
      <c r="G13" s="5" t="n">
        <v>0</v>
      </c>
      <c r="H13" s="5" t="n">
        <v>469.16</v>
      </c>
      <c r="I13" s="5" t="n">
        <v>1</v>
      </c>
      <c r="J13" s="5" t="n">
        <v>1</v>
      </c>
      <c r="K13" s="5" t="n">
        <v>10</v>
      </c>
      <c r="L13" s="6" t="n">
        <v>0</v>
      </c>
      <c r="M13" s="6" t="n">
        <v>0</v>
      </c>
      <c r="N13" s="6" t="n">
        <v>16057001</v>
      </c>
      <c r="O13" s="6" t="n">
        <v>16057001</v>
      </c>
    </row>
    <row r="14">
      <c r="A14" s="5" t="n">
        <v>8</v>
      </c>
      <c r="B14" s="5" t="inlineStr">
        <is>
          <t>УТОЧНИТЬ</t>
        </is>
      </c>
      <c r="C14" s="5" t="inlineStr">
        <is>
          <t>Уплотнитель Вилатерм (ФССЦ)</t>
        </is>
      </c>
      <c r="D14" s="5" t="inlineStr">
        <is>
          <t>м</t>
        </is>
      </c>
      <c r="E14" s="5" t="n">
        <v>3751.126</v>
      </c>
      <c r="F14" s="5" t="n">
        <v>0</v>
      </c>
      <c r="G14" s="5" t="n">
        <v>0</v>
      </c>
      <c r="H14" s="5" t="n">
        <v>15</v>
      </c>
      <c r="I14" s="5" t="n">
        <v>1</v>
      </c>
      <c r="J14" s="5" t="n">
        <v>1</v>
      </c>
      <c r="K14" s="5" t="n">
        <v>10</v>
      </c>
      <c r="L14" s="6" t="n">
        <v>0</v>
      </c>
      <c r="M14" s="6" t="n">
        <v>0</v>
      </c>
      <c r="N14" s="6" t="n">
        <v>703336.12</v>
      </c>
      <c r="O14" s="6" t="n">
        <v>703336.12</v>
      </c>
    </row>
    <row r="15">
      <c r="A15" s="4" t="inlineStr">
        <is>
          <t>Пм1 (железобетонная плита)</t>
        </is>
      </c>
    </row>
    <row r="16">
      <c r="A16" s="5" t="n">
        <v>9</v>
      </c>
      <c r="B16" s="5" t="inlineStr">
        <is>
          <t>УТОЧНИТЬ</t>
        </is>
      </c>
      <c r="C16" s="5" t="inlineStr">
        <is>
          <t>Укладка пенополистирола ППС25</t>
        </is>
      </c>
      <c r="D16" s="5" t="inlineStr">
        <is>
          <t>м³</t>
        </is>
      </c>
      <c r="E16" s="5" t="n">
        <v>57</v>
      </c>
      <c r="F16" s="5" t="n">
        <v>120</v>
      </c>
      <c r="G16" s="5" t="n">
        <v>8</v>
      </c>
      <c r="H16" s="5" t="n">
        <v>0</v>
      </c>
      <c r="I16" s="5" t="n">
        <v>65</v>
      </c>
      <c r="J16" s="5" t="n">
        <v>18</v>
      </c>
      <c r="K16" s="5" t="n">
        <v>10</v>
      </c>
      <c r="L16" s="6" t="n">
        <v>689130</v>
      </c>
      <c r="M16" s="6" t="n">
        <v>13871.52</v>
      </c>
      <c r="N16" s="6" t="n">
        <v>0</v>
      </c>
      <c r="O16" s="6" t="n">
        <v>703001.52</v>
      </c>
    </row>
    <row r="17">
      <c r="A17" s="5" t="n">
        <v>10</v>
      </c>
      <c r="B17" s="5" t="inlineStr">
        <is>
          <t>УТОЧНИТЬ</t>
        </is>
      </c>
      <c r="C17" s="5" t="inlineStr">
        <is>
          <t>Пенополистирол ППС25 (ФССЦ)</t>
        </is>
      </c>
      <c r="D17" s="5" t="inlineStr">
        <is>
          <t>м³</t>
        </is>
      </c>
      <c r="E17" s="5" t="n">
        <v>57</v>
      </c>
      <c r="F17" s="5" t="n">
        <v>0</v>
      </c>
      <c r="G17" s="5" t="n">
        <v>0</v>
      </c>
      <c r="H17" s="5" t="n">
        <v>7437.5</v>
      </c>
      <c r="I17" s="5" t="n">
        <v>1</v>
      </c>
      <c r="J17" s="5" t="n">
        <v>1</v>
      </c>
      <c r="K17" s="5" t="n">
        <v>10</v>
      </c>
      <c r="L17" s="6" t="n">
        <v>0</v>
      </c>
      <c r="M17" s="6" t="n">
        <v>0</v>
      </c>
      <c r="N17" s="6" t="n">
        <v>5299218.75</v>
      </c>
      <c r="O17" s="6" t="n">
        <v>5299218.75</v>
      </c>
    </row>
    <row r="18">
      <c r="A18" s="5" t="n">
        <v>11</v>
      </c>
      <c r="B18" s="5" t="inlineStr">
        <is>
          <t>ГЭСН06-02-001-06</t>
        </is>
      </c>
      <c r="C18" s="5" t="inlineStr">
        <is>
          <t>Устройство железобетонной плиты Пм1</t>
        </is>
      </c>
      <c r="D18" s="5" t="inlineStr">
        <is>
          <t>100 м³</t>
        </is>
      </c>
      <c r="E18" s="5" t="n">
        <v>1.19567</v>
      </c>
      <c r="F18" s="5" t="n">
        <v>4200</v>
      </c>
      <c r="G18" s="5" t="n">
        <v>2200</v>
      </c>
      <c r="H18" s="5" t="n">
        <v>1500</v>
      </c>
      <c r="I18" s="5" t="n">
        <v>65</v>
      </c>
      <c r="J18" s="5" t="n">
        <v>18</v>
      </c>
      <c r="K18" s="5" t="n">
        <v>10</v>
      </c>
      <c r="L18" s="6" t="n">
        <v>505947.76</v>
      </c>
      <c r="M18" s="6" t="n">
        <v>80019.02</v>
      </c>
      <c r="N18" s="6" t="n">
        <v>22418.81</v>
      </c>
      <c r="O18" s="6" t="n">
        <v>608385.59</v>
      </c>
    </row>
    <row r="19">
      <c r="A19" s="5" t="n">
        <v>12</v>
      </c>
      <c r="B19" s="5" t="inlineStr">
        <is>
          <t>УТОЧНИТЬ</t>
        </is>
      </c>
      <c r="C19" s="5" t="inlineStr">
        <is>
          <t>Бетон В25 W6 F150 (ФССЦ)</t>
        </is>
      </c>
      <c r="D19" s="5" t="inlineStr">
        <is>
          <t>м³</t>
        </is>
      </c>
      <c r="E19" s="5" t="n">
        <v>119.567</v>
      </c>
      <c r="F19" s="5" t="n">
        <v>0</v>
      </c>
      <c r="G19" s="5" t="n">
        <v>0</v>
      </c>
      <c r="H19" s="5" t="n">
        <v>6440</v>
      </c>
      <c r="I19" s="5" t="n">
        <v>1</v>
      </c>
      <c r="J19" s="5" t="n">
        <v>1</v>
      </c>
      <c r="K19" s="5" t="n">
        <v>10</v>
      </c>
      <c r="L19" s="6" t="n">
        <v>0</v>
      </c>
      <c r="M19" s="6" t="n">
        <v>0</v>
      </c>
      <c r="N19" s="6" t="n">
        <v>9625143.5</v>
      </c>
      <c r="O19" s="6" t="n">
        <v>9625143.5</v>
      </c>
    </row>
    <row r="20">
      <c r="A20" s="5" t="n">
        <v>13</v>
      </c>
      <c r="B20" s="5" t="inlineStr">
        <is>
          <t>ГЭСН06-03-004-11</t>
        </is>
      </c>
      <c r="C20" s="5" t="inlineStr">
        <is>
          <t>Установка закладных МН118-3 (до 4 кг)</t>
        </is>
      </c>
      <c r="D20" s="5" t="inlineStr">
        <is>
          <t>т</t>
        </is>
      </c>
      <c r="E20" s="5" t="n">
        <v>0.035</v>
      </c>
      <c r="F20" s="5" t="n">
        <v>8500</v>
      </c>
      <c r="G20" s="5" t="n">
        <v>1200</v>
      </c>
      <c r="H20" s="5" t="n">
        <v>4500</v>
      </c>
      <c r="I20" s="5" t="n">
        <v>65</v>
      </c>
      <c r="J20" s="5" t="n">
        <v>18</v>
      </c>
      <c r="K20" s="5" t="n">
        <v>10</v>
      </c>
      <c r="L20" s="6" t="n">
        <v>29973.12</v>
      </c>
      <c r="M20" s="6" t="n">
        <v>1277.64</v>
      </c>
      <c r="N20" s="6" t="n">
        <v>1968.75</v>
      </c>
      <c r="O20" s="6" t="n">
        <v>33219.51</v>
      </c>
    </row>
    <row r="21">
      <c r="A21" s="5" t="n">
        <v>14</v>
      </c>
      <c r="B21" s="5" t="inlineStr">
        <is>
          <t>ГЭСН06-03-004-12</t>
        </is>
      </c>
      <c r="C21" s="5" t="inlineStr">
        <is>
          <t>Установка закладных МН540 (4-20 кг)</t>
        </is>
      </c>
      <c r="D21" s="5" t="inlineStr">
        <is>
          <t>т</t>
        </is>
      </c>
      <c r="E21" s="5" t="n">
        <v>0.09520000000000001</v>
      </c>
      <c r="F21" s="5" t="n">
        <v>7800</v>
      </c>
      <c r="G21" s="5" t="n">
        <v>1100</v>
      </c>
      <c r="H21" s="5" t="n">
        <v>4200</v>
      </c>
      <c r="I21" s="5" t="n">
        <v>65</v>
      </c>
      <c r="J21" s="5" t="n">
        <v>18</v>
      </c>
      <c r="K21" s="5" t="n">
        <v>10</v>
      </c>
      <c r="L21" s="6" t="n">
        <v>74812.92</v>
      </c>
      <c r="M21" s="6" t="n">
        <v>3185.58</v>
      </c>
      <c r="N21" s="6" t="n">
        <v>4998</v>
      </c>
      <c r="O21" s="6" t="n">
        <v>82996.5</v>
      </c>
    </row>
    <row r="22">
      <c r="A22" s="5" t="n">
        <v>15</v>
      </c>
      <c r="B22" s="5" t="inlineStr">
        <is>
          <t>ГЭСН06-03-004-05</t>
        </is>
      </c>
      <c r="C22" s="5" t="inlineStr">
        <is>
          <t>Установка закладных МН3</t>
        </is>
      </c>
      <c r="D22" s="5" t="inlineStr">
        <is>
          <t>т</t>
        </is>
      </c>
      <c r="E22" s="5" t="n">
        <v>0.0196</v>
      </c>
      <c r="F22" s="5" t="n">
        <v>8200</v>
      </c>
      <c r="G22" s="5" t="n">
        <v>1150</v>
      </c>
      <c r="H22" s="5" t="n">
        <v>4300</v>
      </c>
      <c r="I22" s="5" t="n">
        <v>65</v>
      </c>
      <c r="J22" s="5" t="n">
        <v>18</v>
      </c>
      <c r="K22" s="5" t="n">
        <v>10</v>
      </c>
      <c r="L22" s="6" t="n">
        <v>16192.54</v>
      </c>
      <c r="M22" s="6" t="n">
        <v>685.67</v>
      </c>
      <c r="N22" s="6" t="n">
        <v>1053.5</v>
      </c>
      <c r="O22" s="6" t="n">
        <v>17931.71</v>
      </c>
    </row>
    <row r="23">
      <c r="A23" s="5" t="n">
        <v>16</v>
      </c>
      <c r="B23" s="5" t="inlineStr">
        <is>
          <t>ГЭСН46-08-022-03</t>
        </is>
      </c>
      <c r="C23" s="5" t="inlineStr">
        <is>
          <t>Окраска закладных с огрунтовкой</t>
        </is>
      </c>
      <c r="D23" s="5" t="inlineStr">
        <is>
          <t>100 м²</t>
        </is>
      </c>
      <c r="E23" s="5" t="n">
        <v>0.01</v>
      </c>
      <c r="F23" s="5" t="n">
        <v>3200</v>
      </c>
      <c r="G23" s="5" t="n">
        <v>800</v>
      </c>
      <c r="H23" s="5" t="n">
        <v>2500</v>
      </c>
      <c r="I23" s="5" t="n">
        <v>65</v>
      </c>
      <c r="J23" s="5" t="n">
        <v>18</v>
      </c>
      <c r="K23" s="5" t="n">
        <v>10</v>
      </c>
      <c r="L23" s="6" t="n">
        <v>3224</v>
      </c>
      <c r="M23" s="6" t="n">
        <v>243.36</v>
      </c>
      <c r="N23" s="6" t="n">
        <v>312.5</v>
      </c>
      <c r="O23" s="6" t="n">
        <v>3779.86</v>
      </c>
    </row>
    <row r="24">
      <c r="A24" s="5" t="n">
        <v>17</v>
      </c>
      <c r="B24" s="5" t="inlineStr">
        <is>
          <t>УТОЧНИТЬ</t>
        </is>
      </c>
      <c r="C24" s="5" t="inlineStr">
        <is>
          <t>Грунт ЭП-057 (ФССЦ)</t>
        </is>
      </c>
      <c r="D24" s="5" t="inlineStr">
        <is>
          <t>кг</t>
        </is>
      </c>
      <c r="E24" s="5" t="n">
        <v>0.3</v>
      </c>
      <c r="F24" s="5" t="n">
        <v>0</v>
      </c>
      <c r="G24" s="5" t="n">
        <v>0</v>
      </c>
      <c r="H24" s="5" t="n">
        <v>150</v>
      </c>
      <c r="I24" s="5" t="n">
        <v>1</v>
      </c>
      <c r="J24" s="5" t="n">
        <v>1</v>
      </c>
      <c r="K24" s="5" t="n">
        <v>10</v>
      </c>
      <c r="L24" s="6" t="n">
        <v>0</v>
      </c>
      <c r="M24" s="6" t="n">
        <v>0</v>
      </c>
      <c r="N24" s="6" t="n">
        <v>562.5</v>
      </c>
      <c r="O24" s="6" t="n">
        <v>562.5</v>
      </c>
    </row>
    <row r="25">
      <c r="A25" s="5" t="n">
        <v>18</v>
      </c>
      <c r="B25" s="5" t="inlineStr">
        <is>
          <t>УТОЧНИТЬ</t>
        </is>
      </c>
      <c r="C25" s="5" t="inlineStr">
        <is>
          <t>Эмаль ХС 5132 (ФССЦ)</t>
        </is>
      </c>
      <c r="D25" s="5" t="inlineStr">
        <is>
          <t>кг</t>
        </is>
      </c>
      <c r="E25" s="5" t="n">
        <v>0.6</v>
      </c>
      <c r="F25" s="5" t="n">
        <v>0</v>
      </c>
      <c r="G25" s="5" t="n">
        <v>0</v>
      </c>
      <c r="H25" s="5" t="n">
        <v>280</v>
      </c>
      <c r="I25" s="5" t="n">
        <v>1</v>
      </c>
      <c r="J25" s="5" t="n">
        <v>1</v>
      </c>
      <c r="K25" s="5" t="n">
        <v>10</v>
      </c>
      <c r="L25" s="6" t="n">
        <v>0</v>
      </c>
      <c r="M25" s="6" t="n">
        <v>0</v>
      </c>
      <c r="N25" s="6" t="n">
        <v>2100</v>
      </c>
      <c r="O25" s="6" t="n">
        <v>2100</v>
      </c>
    </row>
    <row r="26">
      <c r="A26" s="5" t="n">
        <v>19</v>
      </c>
      <c r="B26" s="5" t="inlineStr">
        <is>
          <t>ГЭСН06-03-004-14</t>
        </is>
      </c>
      <c r="C26" s="5" t="inlineStr">
        <is>
          <t>Армирование Пм1 (А240 Ø8)</t>
        </is>
      </c>
      <c r="D26" s="5" t="inlineStr">
        <is>
          <t>т</t>
        </is>
      </c>
      <c r="E26" s="5" t="n">
        <v>0.34968</v>
      </c>
      <c r="F26" s="5" t="n">
        <v>5200</v>
      </c>
      <c r="G26" s="5" t="n">
        <v>1800</v>
      </c>
      <c r="H26" s="5" t="n">
        <v>2800</v>
      </c>
      <c r="I26" s="5" t="n">
        <v>65</v>
      </c>
      <c r="J26" s="5" t="n">
        <v>18</v>
      </c>
      <c r="K26" s="5" t="n">
        <v>10</v>
      </c>
      <c r="L26" s="6" t="n">
        <v>183197.35</v>
      </c>
      <c r="M26" s="6" t="n">
        <v>19147.08</v>
      </c>
      <c r="N26" s="6" t="n">
        <v>12238.8</v>
      </c>
      <c r="O26" s="6" t="n">
        <v>214583.23</v>
      </c>
    </row>
    <row r="27">
      <c r="A27" s="5" t="n">
        <v>20</v>
      </c>
      <c r="B27" s="5" t="inlineStr">
        <is>
          <t>ГЭСН06-03-004-14</t>
        </is>
      </c>
      <c r="C27" s="5" t="inlineStr">
        <is>
          <t>Армирование Пм1 (А500С Ø10)</t>
        </is>
      </c>
      <c r="D27" s="5" t="inlineStr">
        <is>
          <t>т</t>
        </is>
      </c>
      <c r="E27" s="5" t="n">
        <v>0.9938399999999999</v>
      </c>
      <c r="F27" s="5" t="n">
        <v>4800</v>
      </c>
      <c r="G27" s="5" t="n">
        <v>1600</v>
      </c>
      <c r="H27" s="5" t="n">
        <v>2600</v>
      </c>
      <c r="I27" s="5" t="n">
        <v>65</v>
      </c>
      <c r="J27" s="5" t="n">
        <v>18</v>
      </c>
      <c r="K27" s="5" t="n">
        <v>10</v>
      </c>
      <c r="L27" s="6" t="n">
        <v>480621.02</v>
      </c>
      <c r="M27" s="6" t="n">
        <v>48372.18</v>
      </c>
      <c r="N27" s="6" t="n">
        <v>32299.8</v>
      </c>
      <c r="O27" s="6" t="n">
        <v>561293</v>
      </c>
    </row>
    <row r="28">
      <c r="A28" s="5" t="n">
        <v>21</v>
      </c>
      <c r="B28" s="5" t="inlineStr">
        <is>
          <t>ГЭСН06-03-004-14</t>
        </is>
      </c>
      <c r="C28" s="5" t="inlineStr">
        <is>
          <t>Армирование Пм1 (А500С Ø12)</t>
        </is>
      </c>
      <c r="D28" s="5" t="inlineStr">
        <is>
          <t>т</t>
        </is>
      </c>
      <c r="E28" s="5" t="n">
        <v>11.26664</v>
      </c>
      <c r="F28" s="5" t="n">
        <v>4600</v>
      </c>
      <c r="G28" s="5" t="n">
        <v>1500</v>
      </c>
      <c r="H28" s="5" t="n">
        <v>2500</v>
      </c>
      <c r="I28" s="5" t="n">
        <v>65</v>
      </c>
      <c r="J28" s="5" t="n">
        <v>18</v>
      </c>
      <c r="K28" s="5" t="n">
        <v>10</v>
      </c>
      <c r="L28" s="6" t="n">
        <v>5221524.31</v>
      </c>
      <c r="M28" s="6" t="n">
        <v>514096.78</v>
      </c>
      <c r="N28" s="6" t="n">
        <v>352082.5</v>
      </c>
      <c r="O28" s="6" t="n">
        <v>6087703.59</v>
      </c>
    </row>
    <row r="29">
      <c r="A29" s="5" t="n">
        <v>22</v>
      </c>
      <c r="B29" s="5" t="inlineStr">
        <is>
          <t>ГЭСН26-01-041-05</t>
        </is>
      </c>
      <c r="C29" s="5" t="inlineStr">
        <is>
          <t>Устройство деформационных швов (Пм1)</t>
        </is>
      </c>
      <c r="D29" s="5" t="inlineStr">
        <is>
          <t>м п.</t>
        </is>
      </c>
      <c r="E29" s="5" t="n">
        <v>214.5</v>
      </c>
      <c r="F29" s="5" t="n">
        <v>45</v>
      </c>
      <c r="G29" s="5" t="n">
        <v>12</v>
      </c>
      <c r="H29" s="5" t="n">
        <v>8</v>
      </c>
      <c r="I29" s="5" t="n">
        <v>65</v>
      </c>
      <c r="J29" s="5" t="n">
        <v>18</v>
      </c>
      <c r="K29" s="5" t="n">
        <v>10</v>
      </c>
      <c r="L29" s="6" t="n">
        <v>972489.38</v>
      </c>
      <c r="M29" s="6" t="n">
        <v>78301.08</v>
      </c>
      <c r="N29" s="6" t="n">
        <v>21450</v>
      </c>
      <c r="O29" s="6" t="n">
        <v>1072240.46</v>
      </c>
    </row>
    <row r="30">
      <c r="A30" s="5" t="n">
        <v>23</v>
      </c>
      <c r="B30" s="5" t="inlineStr">
        <is>
          <t>УТОЧНИТЬ</t>
        </is>
      </c>
      <c r="C30" s="5" t="inlineStr">
        <is>
          <t>Пенополистирол ППС15 (деф.шов, ФССЦ)</t>
        </is>
      </c>
      <c r="D30" s="5" t="inlineStr">
        <is>
          <t>м³</t>
        </is>
      </c>
      <c r="E30" s="5" t="n">
        <v>0.612</v>
      </c>
      <c r="F30" s="5" t="n">
        <v>0</v>
      </c>
      <c r="G30" s="5" t="n">
        <v>0</v>
      </c>
      <c r="H30" s="5" t="n">
        <v>7437.5</v>
      </c>
      <c r="I30" s="5" t="n">
        <v>1</v>
      </c>
      <c r="J30" s="5" t="n">
        <v>1</v>
      </c>
      <c r="K30" s="5" t="n">
        <v>10</v>
      </c>
      <c r="L30" s="6" t="n">
        <v>0</v>
      </c>
      <c r="M30" s="6" t="n">
        <v>0</v>
      </c>
      <c r="N30" s="6" t="n">
        <v>56896.88</v>
      </c>
      <c r="O30" s="6" t="n">
        <v>56896.88</v>
      </c>
    </row>
    <row r="31">
      <c r="A31" s="5" t="n">
        <v>24</v>
      </c>
      <c r="B31" s="5" t="inlineStr">
        <is>
          <t>УТОЧНИТЬ</t>
        </is>
      </c>
      <c r="C31" s="5" t="inlineStr">
        <is>
          <t>Полиуретановый герметик (ФССЦ)</t>
        </is>
      </c>
      <c r="D31" s="5" t="inlineStr">
        <is>
          <t>кг</t>
        </is>
      </c>
      <c r="E31" s="5" t="n">
        <v>198</v>
      </c>
      <c r="F31" s="5" t="n">
        <v>0</v>
      </c>
      <c r="G31" s="5" t="n">
        <v>0</v>
      </c>
      <c r="H31" s="5" t="n">
        <v>469.16</v>
      </c>
      <c r="I31" s="5" t="n">
        <v>1</v>
      </c>
      <c r="J31" s="5" t="n">
        <v>1</v>
      </c>
      <c r="K31" s="5" t="n">
        <v>10</v>
      </c>
      <c r="L31" s="6" t="n">
        <v>0</v>
      </c>
      <c r="M31" s="6" t="n">
        <v>0</v>
      </c>
      <c r="N31" s="6" t="n">
        <v>1161171</v>
      </c>
      <c r="O31" s="6" t="n">
        <v>1161171</v>
      </c>
    </row>
    <row r="32">
      <c r="A32" s="5" t="n">
        <v>25</v>
      </c>
      <c r="B32" s="5" t="inlineStr">
        <is>
          <t>УТОЧНИТЬ</t>
        </is>
      </c>
      <c r="C32" s="5" t="inlineStr">
        <is>
          <t>Уплотнитель Вилатерм (ФССЦ)</t>
        </is>
      </c>
      <c r="D32" s="5" t="inlineStr">
        <is>
          <t>м</t>
        </is>
      </c>
      <c r="E32" s="5" t="n">
        <v>218.361</v>
      </c>
      <c r="F32" s="5" t="n">
        <v>0</v>
      </c>
      <c r="G32" s="5" t="n">
        <v>0</v>
      </c>
      <c r="H32" s="5" t="n">
        <v>15</v>
      </c>
      <c r="I32" s="5" t="n">
        <v>1</v>
      </c>
      <c r="J32" s="5" t="n">
        <v>1</v>
      </c>
      <c r="K32" s="5" t="n">
        <v>10</v>
      </c>
      <c r="L32" s="6" t="n">
        <v>0</v>
      </c>
      <c r="M32" s="6" t="n">
        <v>0</v>
      </c>
      <c r="N32" s="6" t="n">
        <v>40942.69</v>
      </c>
      <c r="O32" s="6" t="n">
        <v>40942.69</v>
      </c>
    </row>
    <row r="33">
      <c r="A33" s="5" t="n">
        <v>26</v>
      </c>
      <c r="B33" s="5" t="inlineStr">
        <is>
          <t>УТОЧНИТЬ</t>
        </is>
      </c>
      <c r="C33" s="5" t="inlineStr">
        <is>
          <t>Труба ПЭ 80 SDR13,6 Ø25х2 (ФССЦ)</t>
        </is>
      </c>
      <c r="D33" s="5" t="inlineStr">
        <is>
          <t>шт</t>
        </is>
      </c>
      <c r="E33" s="5" t="n">
        <v>66</v>
      </c>
      <c r="F33" s="5" t="n">
        <v>0</v>
      </c>
      <c r="G33" s="5" t="n">
        <v>0</v>
      </c>
      <c r="H33" s="5" t="n">
        <v>85</v>
      </c>
      <c r="I33" s="5" t="n">
        <v>1</v>
      </c>
      <c r="J33" s="5" t="n">
        <v>1</v>
      </c>
      <c r="K33" s="5" t="n">
        <v>10</v>
      </c>
      <c r="L33" s="6" t="n">
        <v>0</v>
      </c>
      <c r="M33" s="6" t="n">
        <v>0</v>
      </c>
      <c r="N33" s="6" t="n">
        <v>70125</v>
      </c>
      <c r="O33" s="6" t="n">
        <v>70125</v>
      </c>
    </row>
    <row r="34">
      <c r="A34" s="4" t="inlineStr">
        <is>
          <t>Пм2 (железобетонная плита)</t>
        </is>
      </c>
    </row>
    <row r="35">
      <c r="A35" s="5" t="n">
        <v>27</v>
      </c>
      <c r="B35" s="5" t="inlineStr">
        <is>
          <t>УТОЧНИТЬ</t>
        </is>
      </c>
      <c r="C35" s="5" t="inlineStr">
        <is>
          <t>Укладка полиэтиленовой плёнки 200 мкм</t>
        </is>
      </c>
      <c r="D35" s="5" t="inlineStr">
        <is>
          <t>100 м²</t>
        </is>
      </c>
      <c r="E35" s="5" t="n">
        <v>68.0789</v>
      </c>
      <c r="F35" s="5" t="n">
        <v>85</v>
      </c>
      <c r="G35" s="5" t="n">
        <v>0</v>
      </c>
      <c r="H35" s="5" t="n">
        <v>15</v>
      </c>
      <c r="I35" s="5" t="n">
        <v>65</v>
      </c>
      <c r="J35" s="5" t="n">
        <v>18</v>
      </c>
      <c r="K35" s="5" t="n">
        <v>10</v>
      </c>
      <c r="L35" s="6" t="n">
        <v>583010.6800000001</v>
      </c>
      <c r="M35" s="6" t="n">
        <v>0</v>
      </c>
      <c r="N35" s="6" t="n">
        <v>12764.79</v>
      </c>
      <c r="O35" s="6" t="n">
        <v>595775.47</v>
      </c>
    </row>
    <row r="36">
      <c r="A36" s="5" t="n">
        <v>28</v>
      </c>
      <c r="B36" s="5" t="inlineStr">
        <is>
          <t>УТОЧНИТЬ</t>
        </is>
      </c>
      <c r="C36" s="5" t="inlineStr">
        <is>
          <t>Плёнка полиэтиленовая 200 мкм (ФССЦ)</t>
        </is>
      </c>
      <c r="D36" s="5" t="inlineStr">
        <is>
          <t>м²</t>
        </is>
      </c>
      <c r="E36" s="5" t="n">
        <v>6807.89</v>
      </c>
      <c r="F36" s="5" t="n">
        <v>0</v>
      </c>
      <c r="G36" s="5" t="n">
        <v>0</v>
      </c>
      <c r="H36" s="5" t="n">
        <v>1.5</v>
      </c>
      <c r="I36" s="5" t="n">
        <v>1</v>
      </c>
      <c r="J36" s="5" t="n">
        <v>1</v>
      </c>
      <c r="K36" s="5" t="n">
        <v>10</v>
      </c>
      <c r="L36" s="6" t="n">
        <v>0</v>
      </c>
      <c r="M36" s="6" t="n">
        <v>0</v>
      </c>
      <c r="N36" s="6" t="n">
        <v>127647.94</v>
      </c>
      <c r="O36" s="6" t="n">
        <v>127647.94</v>
      </c>
    </row>
    <row r="37">
      <c r="A37" s="5" t="n">
        <v>29</v>
      </c>
      <c r="B37" s="5" t="inlineStr">
        <is>
          <t>ГЭСН06-02-001-06</t>
        </is>
      </c>
      <c r="C37" s="5" t="inlineStr">
        <is>
          <t>Устройство железобетонной плиты Пм2</t>
        </is>
      </c>
      <c r="D37" s="5" t="inlineStr">
        <is>
          <t>100 м³</t>
        </is>
      </c>
      <c r="E37" s="5" t="n">
        <v>11.3071</v>
      </c>
      <c r="F37" s="5" t="n">
        <v>4200</v>
      </c>
      <c r="G37" s="5" t="n">
        <v>2200</v>
      </c>
      <c r="H37" s="5" t="n">
        <v>1500</v>
      </c>
      <c r="I37" s="5" t="n">
        <v>65</v>
      </c>
      <c r="J37" s="5" t="n">
        <v>18</v>
      </c>
      <c r="K37" s="5" t="n">
        <v>10</v>
      </c>
      <c r="L37" s="6" t="n">
        <v>4784599.37</v>
      </c>
      <c r="M37" s="6" t="n">
        <v>756716.36</v>
      </c>
      <c r="N37" s="6" t="n">
        <v>212008.12</v>
      </c>
      <c r="O37" s="6" t="n">
        <v>5753323.85</v>
      </c>
    </row>
    <row r="38">
      <c r="A38" s="5" t="n">
        <v>30</v>
      </c>
      <c r="B38" s="5" t="inlineStr">
        <is>
          <t>УТОЧНИТЬ</t>
        </is>
      </c>
      <c r="C38" s="5" t="inlineStr">
        <is>
          <t>Бетон В25 W6 F150 (ФССЦ)</t>
        </is>
      </c>
      <c r="D38" s="5" t="inlineStr">
        <is>
          <t>м³</t>
        </is>
      </c>
      <c r="E38" s="5" t="n">
        <v>1130.71</v>
      </c>
      <c r="F38" s="5" t="n">
        <v>0</v>
      </c>
      <c r="G38" s="5" t="n">
        <v>0</v>
      </c>
      <c r="H38" s="5" t="n">
        <v>6440</v>
      </c>
      <c r="I38" s="5" t="n">
        <v>1</v>
      </c>
      <c r="J38" s="5" t="n">
        <v>1</v>
      </c>
      <c r="K38" s="5" t="n">
        <v>10</v>
      </c>
      <c r="L38" s="6" t="n">
        <v>0</v>
      </c>
      <c r="M38" s="6" t="n">
        <v>0</v>
      </c>
      <c r="N38" s="6" t="n">
        <v>91022155</v>
      </c>
      <c r="O38" s="6" t="n">
        <v>91022155</v>
      </c>
    </row>
    <row r="39">
      <c r="A39" s="5" t="n">
        <v>31</v>
      </c>
      <c r="B39" s="5" t="inlineStr">
        <is>
          <t>ГЭСН06-03-004-11</t>
        </is>
      </c>
      <c r="C39" s="5" t="inlineStr">
        <is>
          <t>Установка закладных МН118-3</t>
        </is>
      </c>
      <c r="D39" s="5" t="inlineStr">
        <is>
          <t>т</t>
        </is>
      </c>
      <c r="E39" s="5" t="n">
        <v>0.7524999999999999</v>
      </c>
      <c r="F39" s="5" t="n">
        <v>8500</v>
      </c>
      <c r="G39" s="5" t="n">
        <v>1200</v>
      </c>
      <c r="H39" s="5" t="n">
        <v>4500</v>
      </c>
      <c r="I39" s="5" t="n">
        <v>65</v>
      </c>
      <c r="J39" s="5" t="n">
        <v>18</v>
      </c>
      <c r="K39" s="5" t="n">
        <v>10</v>
      </c>
      <c r="L39" s="6" t="n">
        <v>644422.1899999999</v>
      </c>
      <c r="M39" s="6" t="n">
        <v>27469.26</v>
      </c>
      <c r="N39" s="6" t="n">
        <v>42328.12</v>
      </c>
      <c r="O39" s="6" t="n">
        <v>714219.5699999999</v>
      </c>
    </row>
    <row r="40">
      <c r="A40" s="5" t="n">
        <v>32</v>
      </c>
      <c r="B40" s="5" t="inlineStr">
        <is>
          <t>ГЭСН06-03-004-05</t>
        </is>
      </c>
      <c r="C40" s="5" t="inlineStr">
        <is>
          <t>Установка закладных МН3</t>
        </is>
      </c>
      <c r="D40" s="5" t="inlineStr">
        <is>
          <t>т</t>
        </is>
      </c>
      <c r="E40" s="5" t="n">
        <v>0.0245</v>
      </c>
      <c r="F40" s="5" t="n">
        <v>8200</v>
      </c>
      <c r="G40" s="5" t="n">
        <v>1150</v>
      </c>
      <c r="H40" s="5" t="n">
        <v>4300</v>
      </c>
      <c r="I40" s="5" t="n">
        <v>65</v>
      </c>
      <c r="J40" s="5" t="n">
        <v>18</v>
      </c>
      <c r="K40" s="5" t="n">
        <v>10</v>
      </c>
      <c r="L40" s="6" t="n">
        <v>20240.68</v>
      </c>
      <c r="M40" s="6" t="n">
        <v>857.08</v>
      </c>
      <c r="N40" s="6" t="n">
        <v>1316.88</v>
      </c>
      <c r="O40" s="6" t="n">
        <v>22414.63</v>
      </c>
    </row>
    <row r="41">
      <c r="A41" s="5" t="n">
        <v>33</v>
      </c>
      <c r="B41" s="5" t="inlineStr">
        <is>
          <t>ГЭСН46-08-022-03</t>
        </is>
      </c>
      <c r="C41" s="5" t="inlineStr">
        <is>
          <t>Окраска закладных с огрунтовкой</t>
        </is>
      </c>
      <c r="D41" s="5" t="inlineStr">
        <is>
          <t>100 м²</t>
        </is>
      </c>
      <c r="E41" s="5" t="n">
        <v>0.132125</v>
      </c>
      <c r="F41" s="5" t="n">
        <v>3200</v>
      </c>
      <c r="G41" s="5" t="n">
        <v>800</v>
      </c>
      <c r="H41" s="5" t="n">
        <v>2500</v>
      </c>
      <c r="I41" s="5" t="n">
        <v>65</v>
      </c>
      <c r="J41" s="5" t="n">
        <v>18</v>
      </c>
      <c r="K41" s="5" t="n">
        <v>10</v>
      </c>
      <c r="L41" s="6" t="n">
        <v>42597.1</v>
      </c>
      <c r="M41" s="6" t="n">
        <v>3215.39</v>
      </c>
      <c r="N41" s="6" t="n">
        <v>4128.91</v>
      </c>
      <c r="O41" s="6" t="n">
        <v>49941.4</v>
      </c>
    </row>
    <row r="42">
      <c r="A42" s="5" t="n">
        <v>34</v>
      </c>
      <c r="B42" s="5" t="inlineStr">
        <is>
          <t>УТОЧНИТЬ</t>
        </is>
      </c>
      <c r="C42" s="5" t="inlineStr">
        <is>
          <t>Грунт ЭП-057 (ФССЦ)</t>
        </is>
      </c>
      <c r="D42" s="5" t="inlineStr">
        <is>
          <t>кг</t>
        </is>
      </c>
      <c r="E42" s="5" t="n">
        <v>3.96375</v>
      </c>
      <c r="F42" s="5" t="n">
        <v>0</v>
      </c>
      <c r="G42" s="5" t="n">
        <v>0</v>
      </c>
      <c r="H42" s="5" t="n">
        <v>150</v>
      </c>
      <c r="I42" s="5" t="n">
        <v>1</v>
      </c>
      <c r="J42" s="5" t="n">
        <v>1</v>
      </c>
      <c r="K42" s="5" t="n">
        <v>10</v>
      </c>
      <c r="L42" s="6" t="n">
        <v>0</v>
      </c>
      <c r="M42" s="6" t="n">
        <v>0</v>
      </c>
      <c r="N42" s="6" t="n">
        <v>7432.03</v>
      </c>
      <c r="O42" s="6" t="n">
        <v>7432.03</v>
      </c>
    </row>
    <row r="43">
      <c r="A43" s="5" t="n">
        <v>35</v>
      </c>
      <c r="B43" s="5" t="inlineStr">
        <is>
          <t>УТОЧНИТЬ</t>
        </is>
      </c>
      <c r="C43" s="5" t="inlineStr">
        <is>
          <t>Эмаль ХС 5132 (ФССЦ)</t>
        </is>
      </c>
      <c r="D43" s="5" t="inlineStr">
        <is>
          <t>кг</t>
        </is>
      </c>
      <c r="E43" s="5" t="n">
        <v>7.9275</v>
      </c>
      <c r="F43" s="5" t="n">
        <v>0</v>
      </c>
      <c r="G43" s="5" t="n">
        <v>0</v>
      </c>
      <c r="H43" s="5" t="n">
        <v>280</v>
      </c>
      <c r="I43" s="5" t="n">
        <v>1</v>
      </c>
      <c r="J43" s="5" t="n">
        <v>1</v>
      </c>
      <c r="K43" s="5" t="n">
        <v>10</v>
      </c>
      <c r="L43" s="6" t="n">
        <v>0</v>
      </c>
      <c r="M43" s="6" t="n">
        <v>0</v>
      </c>
      <c r="N43" s="6" t="n">
        <v>27746.25</v>
      </c>
      <c r="O43" s="6" t="n">
        <v>27746.25</v>
      </c>
    </row>
    <row r="44">
      <c r="A44" s="5" t="n">
        <v>36</v>
      </c>
      <c r="B44" s="5" t="inlineStr">
        <is>
          <t>ГЭСН06-03-004-14</t>
        </is>
      </c>
      <c r="C44" s="5" t="inlineStr">
        <is>
          <t>Армирование Пм2 (А240 Ø8)</t>
        </is>
      </c>
      <c r="D44" s="5" t="inlineStr">
        <is>
          <t>т</t>
        </is>
      </c>
      <c r="E44" s="5" t="n">
        <v>3.46655</v>
      </c>
      <c r="F44" s="5" t="n">
        <v>5200</v>
      </c>
      <c r="G44" s="5" t="n">
        <v>1800</v>
      </c>
      <c r="H44" s="5" t="n">
        <v>2800</v>
      </c>
      <c r="I44" s="5" t="n">
        <v>65</v>
      </c>
      <c r="J44" s="5" t="n">
        <v>18</v>
      </c>
      <c r="K44" s="5" t="n">
        <v>10</v>
      </c>
      <c r="L44" s="6" t="n">
        <v>1816125.54</v>
      </c>
      <c r="M44" s="6" t="n">
        <v>189814.41</v>
      </c>
      <c r="N44" s="6" t="n">
        <v>121329.25</v>
      </c>
      <c r="O44" s="6" t="n">
        <v>2127269.21</v>
      </c>
    </row>
    <row r="45">
      <c r="A45" s="5" t="n">
        <v>37</v>
      </c>
      <c r="B45" s="5" t="inlineStr">
        <is>
          <t>ГЭСН06-03-004-14</t>
        </is>
      </c>
      <c r="C45" s="5" t="inlineStr">
        <is>
          <t>Армирование Пм2 (А500С Ø10)</t>
        </is>
      </c>
      <c r="D45" s="5" t="inlineStr">
        <is>
          <t>т</t>
        </is>
      </c>
      <c r="E45" s="5" t="n">
        <v>95.17421</v>
      </c>
      <c r="F45" s="5" t="n">
        <v>4800</v>
      </c>
      <c r="G45" s="5" t="n">
        <v>1600</v>
      </c>
      <c r="H45" s="5" t="n">
        <v>2600</v>
      </c>
      <c r="I45" s="5" t="n">
        <v>65</v>
      </c>
      <c r="J45" s="5" t="n">
        <v>18</v>
      </c>
      <c r="K45" s="5" t="n">
        <v>10</v>
      </c>
      <c r="L45" s="6" t="n">
        <v>46026247.96</v>
      </c>
      <c r="M45" s="6" t="n">
        <v>4632319.15</v>
      </c>
      <c r="N45" s="6" t="n">
        <v>3093161.83</v>
      </c>
      <c r="O45" s="6" t="n">
        <v>53751728.93</v>
      </c>
    </row>
    <row r="46">
      <c r="A46" s="5" t="n">
        <v>38</v>
      </c>
      <c r="B46" s="5" t="inlineStr">
        <is>
          <t>ГЭСН06-03-004-14</t>
        </is>
      </c>
      <c r="C46" s="5" t="inlineStr">
        <is>
          <t>Армирование Пм2 (А240 Ø10)</t>
        </is>
      </c>
      <c r="D46" s="5" t="inlineStr">
        <is>
          <t>т</t>
        </is>
      </c>
      <c r="E46" s="5" t="n">
        <v>0.00364</v>
      </c>
      <c r="F46" s="5" t="n">
        <v>5000</v>
      </c>
      <c r="G46" s="5" t="n">
        <v>1700</v>
      </c>
      <c r="H46" s="5" t="n">
        <v>2700</v>
      </c>
      <c r="I46" s="5" t="n">
        <v>65</v>
      </c>
      <c r="J46" s="5" t="n">
        <v>18</v>
      </c>
      <c r="K46" s="5" t="n">
        <v>10</v>
      </c>
      <c r="L46" s="6" t="n">
        <v>1833.65</v>
      </c>
      <c r="M46" s="6" t="n">
        <v>188.24</v>
      </c>
      <c r="N46" s="6" t="n">
        <v>122.85</v>
      </c>
      <c r="O46" s="6" t="n">
        <v>2144.74</v>
      </c>
    </row>
    <row r="47">
      <c r="A47" s="5" t="n">
        <v>39</v>
      </c>
      <c r="B47" s="5" t="inlineStr">
        <is>
          <t>ГЭСН26-01-041-05</t>
        </is>
      </c>
      <c r="C47" s="5" t="inlineStr">
        <is>
          <t>Устройство деформационных швов (Пм2)</t>
        </is>
      </c>
      <c r="D47" s="5" t="inlineStr">
        <is>
          <t>м п.</t>
        </is>
      </c>
      <c r="E47" s="5" t="n">
        <v>2917.1</v>
      </c>
      <c r="F47" s="5" t="n">
        <v>45</v>
      </c>
      <c r="G47" s="5" t="n">
        <v>12</v>
      </c>
      <c r="H47" s="5" t="n">
        <v>8</v>
      </c>
      <c r="I47" s="5" t="n">
        <v>65</v>
      </c>
      <c r="J47" s="5" t="n">
        <v>18</v>
      </c>
      <c r="K47" s="5" t="n">
        <v>10</v>
      </c>
      <c r="L47" s="6" t="n">
        <v>13225402.12</v>
      </c>
      <c r="M47" s="6" t="n">
        <v>1064858.18</v>
      </c>
      <c r="N47" s="6" t="n">
        <v>291710</v>
      </c>
      <c r="O47" s="6" t="n">
        <v>14581970.31</v>
      </c>
    </row>
    <row r="48">
      <c r="A48" s="5" t="n">
        <v>40</v>
      </c>
      <c r="B48" s="5" t="inlineStr">
        <is>
          <t>УТОЧНИТЬ</t>
        </is>
      </c>
      <c r="C48" s="5" t="inlineStr">
        <is>
          <t>Пенополистирол ППС15 (деф.шов, ФССЦ)</t>
        </is>
      </c>
      <c r="D48" s="5" t="inlineStr">
        <is>
          <t>м³</t>
        </is>
      </c>
      <c r="E48" s="5" t="n">
        <v>9.077999999999999</v>
      </c>
      <c r="F48" s="5" t="n">
        <v>0</v>
      </c>
      <c r="G48" s="5" t="n">
        <v>0</v>
      </c>
      <c r="H48" s="5" t="n">
        <v>7437.5</v>
      </c>
      <c r="I48" s="5" t="n">
        <v>1</v>
      </c>
      <c r="J48" s="5" t="n">
        <v>1</v>
      </c>
      <c r="K48" s="5" t="n">
        <v>10</v>
      </c>
      <c r="L48" s="6" t="n">
        <v>0</v>
      </c>
      <c r="M48" s="6" t="n">
        <v>0</v>
      </c>
      <c r="N48" s="6" t="n">
        <v>843970.3100000001</v>
      </c>
      <c r="O48" s="6" t="n">
        <v>843970.3100000001</v>
      </c>
    </row>
    <row r="49">
      <c r="A49" s="5" t="n">
        <v>41</v>
      </c>
      <c r="B49" s="5" t="inlineStr">
        <is>
          <t>УТОЧНИТЬ</t>
        </is>
      </c>
      <c r="C49" s="5" t="inlineStr">
        <is>
          <t>Полиуретановый герметик (ФССЦ)</t>
        </is>
      </c>
      <c r="D49" s="5" t="inlineStr">
        <is>
          <t>кг</t>
        </is>
      </c>
      <c r="E49" s="5" t="n">
        <v>2589.4</v>
      </c>
      <c r="F49" s="5" t="n">
        <v>0</v>
      </c>
      <c r="G49" s="5" t="n">
        <v>0</v>
      </c>
      <c r="H49" s="5" t="n">
        <v>469.16</v>
      </c>
      <c r="I49" s="5" t="n">
        <v>1</v>
      </c>
      <c r="J49" s="5" t="n">
        <v>1</v>
      </c>
      <c r="K49" s="5" t="n">
        <v>10</v>
      </c>
      <c r="L49" s="6" t="n">
        <v>0</v>
      </c>
      <c r="M49" s="6" t="n">
        <v>0</v>
      </c>
      <c r="N49" s="6" t="n">
        <v>15185536.3</v>
      </c>
      <c r="O49" s="6" t="n">
        <v>15185536.3</v>
      </c>
    </row>
    <row r="50">
      <c r="A50" s="5" t="n">
        <v>42</v>
      </c>
      <c r="B50" s="5" t="inlineStr">
        <is>
          <t>УТОЧНИТЬ</t>
        </is>
      </c>
      <c r="C50" s="5" t="inlineStr">
        <is>
          <t>Уплотнитель Вилатерм (ФССЦ)</t>
        </is>
      </c>
      <c r="D50" s="5" t="inlineStr">
        <is>
          <t>м</t>
        </is>
      </c>
      <c r="E50" s="5" t="n">
        <v>2969.608</v>
      </c>
      <c r="F50" s="5" t="n">
        <v>0</v>
      </c>
      <c r="G50" s="5" t="n">
        <v>0</v>
      </c>
      <c r="H50" s="5" t="n">
        <v>15</v>
      </c>
      <c r="I50" s="5" t="n">
        <v>1</v>
      </c>
      <c r="J50" s="5" t="n">
        <v>1</v>
      </c>
      <c r="K50" s="5" t="n">
        <v>10</v>
      </c>
      <c r="L50" s="6" t="n">
        <v>0</v>
      </c>
      <c r="M50" s="6" t="n">
        <v>0</v>
      </c>
      <c r="N50" s="6" t="n">
        <v>556801.5</v>
      </c>
      <c r="O50" s="6" t="n">
        <v>556801.5</v>
      </c>
    </row>
    <row r="51">
      <c r="A51" s="5" t="n">
        <v>43</v>
      </c>
      <c r="B51" s="5" t="inlineStr">
        <is>
          <t>УТОЧНИТЬ</t>
        </is>
      </c>
      <c r="C51" s="5" t="inlineStr">
        <is>
          <t>Труба ПЭ 80 SDR13,6 Ø25х2 (ФССЦ)</t>
        </is>
      </c>
      <c r="D51" s="5" t="inlineStr">
        <is>
          <t>шт</t>
        </is>
      </c>
      <c r="E51" s="5" t="n">
        <v>490</v>
      </c>
      <c r="F51" s="5" t="n">
        <v>0</v>
      </c>
      <c r="G51" s="5" t="n">
        <v>0</v>
      </c>
      <c r="H51" s="5" t="n">
        <v>85</v>
      </c>
      <c r="I51" s="5" t="n">
        <v>1</v>
      </c>
      <c r="J51" s="5" t="n">
        <v>1</v>
      </c>
      <c r="K51" s="5" t="n">
        <v>10</v>
      </c>
      <c r="L51" s="6" t="n">
        <v>0</v>
      </c>
      <c r="M51" s="6" t="n">
        <v>0</v>
      </c>
      <c r="N51" s="6" t="n">
        <v>520625</v>
      </c>
      <c r="O51" s="6" t="n">
        <v>520625</v>
      </c>
    </row>
    <row r="52">
      <c r="A52" s="4" t="inlineStr">
        <is>
          <t>Раздел 2. Устройство пандуса Пнм1</t>
        </is>
      </c>
    </row>
    <row r="53">
      <c r="A53" s="5" t="n">
        <v>44</v>
      </c>
      <c r="B53" s="5" t="inlineStr">
        <is>
          <t>УТОЧНИТЬ</t>
        </is>
      </c>
      <c r="C53" s="5" t="inlineStr">
        <is>
          <t>Укладка пенополистирола ППС25</t>
        </is>
      </c>
      <c r="D53" s="5" t="inlineStr">
        <is>
          <t>м³</t>
        </is>
      </c>
      <c r="E53" s="5" t="n">
        <v>2.884</v>
      </c>
      <c r="F53" s="5" t="n">
        <v>120</v>
      </c>
      <c r="G53" s="5" t="n">
        <v>8</v>
      </c>
      <c r="H53" s="5" t="n">
        <v>0</v>
      </c>
      <c r="I53" s="5" t="n">
        <v>65</v>
      </c>
      <c r="J53" s="5" t="n">
        <v>18</v>
      </c>
      <c r="K53" s="5" t="n">
        <v>10</v>
      </c>
      <c r="L53" s="6" t="n">
        <v>34867.56</v>
      </c>
      <c r="M53" s="6" t="n">
        <v>701.85</v>
      </c>
      <c r="N53" s="6" t="n">
        <v>0</v>
      </c>
      <c r="O53" s="6" t="n">
        <v>35569.41</v>
      </c>
    </row>
    <row r="54">
      <c r="A54" s="5" t="n">
        <v>45</v>
      </c>
      <c r="B54" s="5" t="inlineStr">
        <is>
          <t>УТОЧНИТЬ</t>
        </is>
      </c>
      <c r="C54" s="5" t="inlineStr">
        <is>
          <t>Пенополистирол ППС25 (ФССЦ)</t>
        </is>
      </c>
      <c r="D54" s="5" t="inlineStr">
        <is>
          <t>м³</t>
        </is>
      </c>
      <c r="E54" s="5" t="n">
        <v>2.884</v>
      </c>
      <c r="F54" s="5" t="n">
        <v>0</v>
      </c>
      <c r="G54" s="5" t="n">
        <v>0</v>
      </c>
      <c r="H54" s="5" t="n">
        <v>7437.5</v>
      </c>
      <c r="I54" s="5" t="n">
        <v>1</v>
      </c>
      <c r="J54" s="5" t="n">
        <v>1</v>
      </c>
      <c r="K54" s="5" t="n">
        <v>10</v>
      </c>
      <c r="L54" s="6" t="n">
        <v>0</v>
      </c>
      <c r="M54" s="6" t="n">
        <v>0</v>
      </c>
      <c r="N54" s="6" t="n">
        <v>268121.88</v>
      </c>
      <c r="O54" s="6" t="n">
        <v>268121.88</v>
      </c>
    </row>
    <row r="55">
      <c r="A55" s="5" t="n">
        <v>46</v>
      </c>
      <c r="B55" s="5" t="inlineStr">
        <is>
          <t>ГЭСН06-02-001-06</t>
        </is>
      </c>
      <c r="C55" s="5" t="inlineStr">
        <is>
          <t>Устройство пандуса Пнм1</t>
        </is>
      </c>
      <c r="D55" s="5" t="inlineStr">
        <is>
          <t>100 м³</t>
        </is>
      </c>
      <c r="E55" s="5" t="n">
        <v>0.03248</v>
      </c>
      <c r="F55" s="5" t="n">
        <v>4200</v>
      </c>
      <c r="G55" s="5" t="n">
        <v>2200</v>
      </c>
      <c r="H55" s="5" t="n">
        <v>1500</v>
      </c>
      <c r="I55" s="5" t="n">
        <v>65</v>
      </c>
      <c r="J55" s="5" t="n">
        <v>18</v>
      </c>
      <c r="K55" s="5" t="n">
        <v>10</v>
      </c>
      <c r="L55" s="6" t="n">
        <v>13743.91</v>
      </c>
      <c r="M55" s="6" t="n">
        <v>2173.69</v>
      </c>
      <c r="N55" s="6" t="n">
        <v>609</v>
      </c>
      <c r="O55" s="6" t="n">
        <v>16526.6</v>
      </c>
    </row>
    <row r="56">
      <c r="A56" s="5" t="n">
        <v>47</v>
      </c>
      <c r="B56" s="5" t="inlineStr">
        <is>
          <t>УТОЧНИТЬ</t>
        </is>
      </c>
      <c r="C56" s="5" t="inlineStr">
        <is>
          <t>Бетон В25 W6 F150 (ФССЦ)</t>
        </is>
      </c>
      <c r="D56" s="5" t="inlineStr">
        <is>
          <t>м³</t>
        </is>
      </c>
      <c r="E56" s="5" t="n">
        <v>3.248</v>
      </c>
      <c r="F56" s="5" t="n">
        <v>0</v>
      </c>
      <c r="G56" s="5" t="n">
        <v>0</v>
      </c>
      <c r="H56" s="5" t="n">
        <v>6440</v>
      </c>
      <c r="I56" s="5" t="n">
        <v>1</v>
      </c>
      <c r="J56" s="5" t="n">
        <v>1</v>
      </c>
      <c r="K56" s="5" t="n">
        <v>10</v>
      </c>
      <c r="L56" s="6" t="n">
        <v>0</v>
      </c>
      <c r="M56" s="6" t="n">
        <v>0</v>
      </c>
      <c r="N56" s="6" t="n">
        <v>261464</v>
      </c>
      <c r="O56" s="6" t="n">
        <v>261464</v>
      </c>
    </row>
    <row r="57">
      <c r="A57" s="5" t="n">
        <v>48</v>
      </c>
      <c r="B57" s="5" t="inlineStr">
        <is>
          <t>ГЭСН06-03-004-12</t>
        </is>
      </c>
      <c r="C57" s="5" t="inlineStr">
        <is>
          <t>Установка закладных МН540</t>
        </is>
      </c>
      <c r="D57" s="5" t="inlineStr">
        <is>
          <t>т</t>
        </is>
      </c>
      <c r="E57" s="5" t="n">
        <v>0.0969</v>
      </c>
      <c r="F57" s="5" t="n">
        <v>7800</v>
      </c>
      <c r="G57" s="5" t="n">
        <v>1100</v>
      </c>
      <c r="H57" s="5" t="n">
        <v>4200</v>
      </c>
      <c r="I57" s="5" t="n">
        <v>65</v>
      </c>
      <c r="J57" s="5" t="n">
        <v>18</v>
      </c>
      <c r="K57" s="5" t="n">
        <v>10</v>
      </c>
      <c r="L57" s="6" t="n">
        <v>76148.87</v>
      </c>
      <c r="M57" s="6" t="n">
        <v>3242.47</v>
      </c>
      <c r="N57" s="6" t="n">
        <v>5087.25</v>
      </c>
      <c r="O57" s="6" t="n">
        <v>84478.58</v>
      </c>
    </row>
    <row r="58">
      <c r="A58" s="5" t="n">
        <v>49</v>
      </c>
      <c r="B58" s="5" t="inlineStr">
        <is>
          <t>ГЭСН46-08-022-03</t>
        </is>
      </c>
      <c r="C58" s="5" t="inlineStr">
        <is>
          <t>Окраска закладных с огрунтовкой</t>
        </is>
      </c>
      <c r="D58" s="5" t="inlineStr">
        <is>
          <t>100 м²</t>
        </is>
      </c>
      <c r="E58" s="5" t="n">
        <v>0.001</v>
      </c>
      <c r="F58" s="5" t="n">
        <v>3200</v>
      </c>
      <c r="G58" s="5" t="n">
        <v>800</v>
      </c>
      <c r="H58" s="5" t="n">
        <v>2500</v>
      </c>
      <c r="I58" s="5" t="n">
        <v>65</v>
      </c>
      <c r="J58" s="5" t="n">
        <v>18</v>
      </c>
      <c r="K58" s="5" t="n">
        <v>10</v>
      </c>
      <c r="L58" s="6" t="n">
        <v>322.4</v>
      </c>
      <c r="M58" s="6" t="n">
        <v>24.34</v>
      </c>
      <c r="N58" s="6" t="n">
        <v>31.25</v>
      </c>
      <c r="O58" s="6" t="n">
        <v>377.99</v>
      </c>
    </row>
    <row r="59">
      <c r="A59" s="5" t="n">
        <v>50</v>
      </c>
      <c r="B59" s="5" t="inlineStr">
        <is>
          <t>УТОЧНИТЬ</t>
        </is>
      </c>
      <c r="C59" s="5" t="inlineStr">
        <is>
          <t>Грунт ЭП-057 (ФССЦ)</t>
        </is>
      </c>
      <c r="D59" s="5" t="inlineStr">
        <is>
          <t>кг</t>
        </is>
      </c>
      <c r="E59" s="5" t="n">
        <v>0.03</v>
      </c>
      <c r="F59" s="5" t="n">
        <v>0</v>
      </c>
      <c r="G59" s="5" t="n">
        <v>0</v>
      </c>
      <c r="H59" s="5" t="n">
        <v>150</v>
      </c>
      <c r="I59" s="5" t="n">
        <v>1</v>
      </c>
      <c r="J59" s="5" t="n">
        <v>1</v>
      </c>
      <c r="K59" s="5" t="n">
        <v>10</v>
      </c>
      <c r="L59" s="6" t="n">
        <v>0</v>
      </c>
      <c r="M59" s="6" t="n">
        <v>0</v>
      </c>
      <c r="N59" s="6" t="n">
        <v>56.25</v>
      </c>
      <c r="O59" s="6" t="n">
        <v>56.25</v>
      </c>
    </row>
    <row r="60">
      <c r="A60" s="5" t="n">
        <v>51</v>
      </c>
      <c r="B60" s="5" t="inlineStr">
        <is>
          <t>УТОЧНИТЬ</t>
        </is>
      </c>
      <c r="C60" s="5" t="inlineStr">
        <is>
          <t>Эмаль ХС 5132 (ФССЦ)</t>
        </is>
      </c>
      <c r="D60" s="5" t="inlineStr">
        <is>
          <t>кг</t>
        </is>
      </c>
      <c r="E60" s="5" t="n">
        <v>0.06</v>
      </c>
      <c r="F60" s="5" t="n">
        <v>0</v>
      </c>
      <c r="G60" s="5" t="n">
        <v>0</v>
      </c>
      <c r="H60" s="5" t="n">
        <v>280</v>
      </c>
      <c r="I60" s="5" t="n">
        <v>1</v>
      </c>
      <c r="J60" s="5" t="n">
        <v>1</v>
      </c>
      <c r="K60" s="5" t="n">
        <v>10</v>
      </c>
      <c r="L60" s="6" t="n">
        <v>0</v>
      </c>
      <c r="M60" s="6" t="n">
        <v>0</v>
      </c>
      <c r="N60" s="6" t="n">
        <v>210</v>
      </c>
      <c r="O60" s="6" t="n">
        <v>210</v>
      </c>
    </row>
    <row r="61">
      <c r="A61" s="5" t="n">
        <v>52</v>
      </c>
      <c r="B61" s="5" t="inlineStr">
        <is>
          <t>ГЭСН06-03-004-14</t>
        </is>
      </c>
      <c r="C61" s="5" t="inlineStr">
        <is>
          <t>Армирование пандуса (А500С Ø10)</t>
        </is>
      </c>
      <c r="D61" s="5" t="inlineStr">
        <is>
          <t>т</t>
        </is>
      </c>
      <c r="E61" s="5" t="n">
        <v>0.2324</v>
      </c>
      <c r="F61" s="5" t="n">
        <v>4800</v>
      </c>
      <c r="G61" s="5" t="n">
        <v>1600</v>
      </c>
      <c r="H61" s="5" t="n">
        <v>2600</v>
      </c>
      <c r="I61" s="5" t="n">
        <v>65</v>
      </c>
      <c r="J61" s="5" t="n">
        <v>18</v>
      </c>
      <c r="K61" s="5" t="n">
        <v>10</v>
      </c>
      <c r="L61" s="6" t="n">
        <v>112388.64</v>
      </c>
      <c r="M61" s="6" t="n">
        <v>11311.37</v>
      </c>
      <c r="N61" s="6" t="n">
        <v>7553</v>
      </c>
      <c r="O61" s="6" t="n">
        <v>131253.01</v>
      </c>
    </row>
    <row r="62">
      <c r="A62" s="4" t="inlineStr">
        <is>
          <t>Раздел 3. Устройство противоусадочных швов</t>
        </is>
      </c>
    </row>
    <row r="63">
      <c r="A63" s="5" t="n">
        <v>53</v>
      </c>
      <c r="B63" s="5" t="inlineStr">
        <is>
          <t>УТОЧНИТЬ</t>
        </is>
      </c>
      <c r="C63" s="5" t="inlineStr">
        <is>
          <t>Нарезка швов в плите (глуб.30мм, шир.5мм)</t>
        </is>
      </c>
      <c r="D63" s="5" t="inlineStr">
        <is>
          <t>100 м</t>
        </is>
      </c>
      <c r="E63" s="5" t="n">
        <v>17.288</v>
      </c>
      <c r="F63" s="5" t="n">
        <v>2800</v>
      </c>
      <c r="G63" s="5" t="n">
        <v>600</v>
      </c>
      <c r="H63" s="5" t="n">
        <v>0</v>
      </c>
      <c r="I63" s="5" t="n">
        <v>65</v>
      </c>
      <c r="J63" s="5" t="n">
        <v>18</v>
      </c>
      <c r="K63" s="5" t="n">
        <v>10</v>
      </c>
      <c r="L63" s="6" t="n">
        <v>4876944.8</v>
      </c>
      <c r="M63" s="6" t="n">
        <v>315540.58</v>
      </c>
      <c r="N63" s="6" t="n">
        <v>0</v>
      </c>
      <c r="O63" s="6" t="n">
        <v>5192485.38</v>
      </c>
    </row>
    <row r="64">
      <c r="A64" s="5" t="n">
        <v>54</v>
      </c>
      <c r="B64" s="5" t="inlineStr">
        <is>
          <t>УТОЧНИТЬ</t>
        </is>
      </c>
      <c r="C64" s="5" t="inlineStr">
        <is>
          <t>Полиуретановый герметик (ФССЦ)</t>
        </is>
      </c>
      <c r="D64" s="5" t="inlineStr">
        <is>
          <t>кг</t>
        </is>
      </c>
      <c r="E64" s="5" t="n">
        <v>300</v>
      </c>
      <c r="F64" s="5" t="n">
        <v>0</v>
      </c>
      <c r="G64" s="5" t="n">
        <v>0</v>
      </c>
      <c r="H64" s="5" t="n">
        <v>469.16</v>
      </c>
      <c r="I64" s="5" t="n">
        <v>1</v>
      </c>
      <c r="J64" s="5" t="n">
        <v>1</v>
      </c>
      <c r="K64" s="5" t="n">
        <v>10</v>
      </c>
      <c r="L64" s="6" t="n">
        <v>0</v>
      </c>
      <c r="M64" s="6" t="n">
        <v>0</v>
      </c>
      <c r="N64" s="6" t="n">
        <v>1759350</v>
      </c>
      <c r="O64" s="6" t="n">
        <v>1759350</v>
      </c>
    </row>
    <row r="65">
      <c r="A65" s="4" t="inlineStr">
        <is>
          <t>Накладные расходы и сметная прибыль</t>
        </is>
      </c>
    </row>
    <row r="66">
      <c r="A66" s="5" t="n">
        <v>55</v>
      </c>
      <c r="B66" s="5" t="n"/>
      <c r="C66" s="5" t="inlineStr">
        <is>
          <t>НР (102% от ФОТ, бетон/ЖБ)</t>
        </is>
      </c>
      <c r="D66" s="5" t="inlineStr">
        <is>
          <t>%</t>
        </is>
      </c>
      <c r="E66" s="5" t="n"/>
      <c r="F66" s="5" t="n"/>
      <c r="G66" s="5" t="n"/>
      <c r="H66" s="5" t="n"/>
      <c r="I66" s="5" t="n"/>
      <c r="J66" s="5" t="n"/>
      <c r="K66" s="5" t="n"/>
    </row>
    <row r="67">
      <c r="A67" s="5" t="n">
        <v>56</v>
      </c>
      <c r="B67" s="5" t="n"/>
      <c r="C67" s="5" t="inlineStr">
        <is>
          <t>СП (58% от ФОТ, бетон/ЖБ)</t>
        </is>
      </c>
      <c r="D67" s="5" t="inlineStr">
        <is>
          <t>%</t>
        </is>
      </c>
      <c r="E67" s="5" t="n"/>
      <c r="F67" s="5" t="n"/>
      <c r="G67" s="5" t="n"/>
      <c r="H67" s="5" t="n"/>
      <c r="I67" s="5" t="n"/>
      <c r="J67" s="5" t="n"/>
      <c r="K67" s="5" t="n"/>
    </row>
    <row r="69">
      <c r="A69" s="7" t="inlineStr">
        <is>
          <t>ИТОГО ПРЯМЫЕ ЗАТРАТЫ:</t>
        </is>
      </c>
      <c r="L69" s="8">
        <f>SUM(L6:L67)</f>
        <v/>
      </c>
      <c r="M69" s="8">
        <f>SUM(M6:M67)</f>
        <v/>
      </c>
      <c r="N69" s="8">
        <f>SUM(N6:N67)</f>
        <v/>
      </c>
      <c r="O69" s="8">
        <f>SUM(O6:O67)</f>
        <v/>
      </c>
    </row>
    <row r="71">
      <c r="A71" t="inlineStr">
        <is>
          <t>НР (102% от ФОТ):</t>
        </is>
      </c>
      <c r="L71" s="9">
        <f>L69*1.02</f>
        <v/>
      </c>
    </row>
    <row r="72">
      <c r="A72" t="inlineStr">
        <is>
          <t>СП (58% от ФОТ):</t>
        </is>
      </c>
      <c r="L72" s="9">
        <f>L69*0.58</f>
        <v/>
      </c>
    </row>
    <row r="73">
      <c r="A73" s="10" t="inlineStr">
        <is>
          <t>ВСЕГО ПО СМЕТЕ:</t>
        </is>
      </c>
      <c r="O73" s="11">
        <f>O69+L71+L72</f>
        <v/>
      </c>
    </row>
    <row r="76">
      <c r="A76" s="12" t="inlineStr">
        <is>
          <t>⚠ Примечание: Позиции с "УТОЧНИТЬ" требуют проверки кодов ФЕР/ГЭСН в ГРАНД-Смете. Базовые цены приблизительные.</t>
        </is>
      </c>
    </row>
  </sheetData>
  <mergeCells count="14">
    <mergeCell ref="A6:K6"/>
    <mergeCell ref="A69:E69"/>
    <mergeCell ref="A34:K34"/>
    <mergeCell ref="A62:K62"/>
    <mergeCell ref="A3:K3"/>
    <mergeCell ref="A73:E73"/>
    <mergeCell ref="A72:E72"/>
    <mergeCell ref="A15:K15"/>
    <mergeCell ref="A65:K65"/>
    <mergeCell ref="A71:E71"/>
    <mergeCell ref="A2:K2"/>
    <mergeCell ref="A52:K52"/>
    <mergeCell ref="A76:K76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2026-06-30T20:42:46Z</dcterms:created>
  <dcterms:modified xmlns:dcterms="http://purl.org/dc/terms/" xmlns:xsi="http://www.w3.org/2001/XMLSchema-instance" xsi:type="dcterms:W3CDTF">2026-06-30T20:42:46Z</dcterms:modified>
</cp:coreProperties>
</file>